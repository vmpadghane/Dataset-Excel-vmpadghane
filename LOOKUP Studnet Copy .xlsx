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01 Vaibhav\MUCC\Day 13 06-02-26\"/>
    </mc:Choice>
  </mc:AlternateContent>
  <xr:revisionPtr revIDLastSave="0" documentId="13_ncr:1_{D6F7E460-57E0-4AFE-9868-6D2B2BA5EA2A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vlookup01" sheetId="1" r:id="rId1"/>
    <sheet name="vlookup02" sheetId="6" r:id="rId2"/>
    <sheet name="vlookup03" sheetId="3" r:id="rId3"/>
    <sheet name="vlookup04" sheetId="4" r:id="rId4"/>
    <sheet name="vlookup05" sheetId="5" r:id="rId5"/>
    <sheet name="vlookup06" sheetId="9" r:id="rId6"/>
    <sheet name="HLOOKUP 01" sheetId="7" r:id="rId7"/>
    <sheet name="hlookup02" sheetId="8" r:id="rId8"/>
    <sheet name="hlookup03" sheetId="10" r:id="rId9"/>
    <sheet name="Index Match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5" l="1"/>
</calcChain>
</file>

<file path=xl/sharedStrings.xml><?xml version="1.0" encoding="utf-8"?>
<sst xmlns="http://schemas.openxmlformats.org/spreadsheetml/2006/main" count="312" uniqueCount="195">
  <si>
    <t>ID Number</t>
  </si>
  <si>
    <t>Name</t>
  </si>
  <si>
    <t>Age</t>
  </si>
  <si>
    <t>Yoav</t>
  </si>
  <si>
    <t>Danny</t>
  </si>
  <si>
    <t>Guy</t>
  </si>
  <si>
    <t>Rafi</t>
  </si>
  <si>
    <t>Lev</t>
  </si>
  <si>
    <t>What is the age of ID 57564? </t>
  </si>
  <si>
    <t>VLOOKUP Exercise - Data:</t>
  </si>
  <si>
    <t>Excel-practice-online.com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</si>
  <si>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</si>
  <si>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</si>
  <si>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</si>
  <si>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</si>
  <si>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</si>
  <si>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</si>
  <si>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</si>
  <si>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</si>
  <si>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</si>
  <si>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</si>
  <si>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</si>
  <si>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</si>
  <si>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</si>
  <si>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</si>
  <si>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</si>
  <si>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</si>
  <si>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</si>
  <si>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</si>
  <si>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</si>
  <si>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</si>
  <si>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</si>
  <si>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</si>
  <si>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</si>
  <si>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</si>
  <si>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</si>
  <si>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</si>
  <si>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</si>
  <si>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</si>
  <si>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</si>
  <si>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</si>
  <si>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</si>
  <si>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</si>
  <si>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</si>
  <si>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</si>
  <si>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</si>
  <si>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</si>
  <si>
    <t>20. For EmpID 107, calculate Salary + (Salary * Bonus %).</t>
  </si>
  <si>
    <t>19. Return the Name of employee 106.</t>
  </si>
  <si>
    <t>18. Find the Location of 105.</t>
  </si>
  <si>
    <t>17. Lookup the Salary for 103 and apply a 5% increment.</t>
  </si>
  <si>
    <t>16. Find the Bonus % of the highest-salary employee (EmpID 110).</t>
  </si>
  <si>
    <t>15. Retrieve the Department of 101.</t>
  </si>
  <si>
    <t>14. Find the Salary of the employee in Boston (Finance).</t>
  </si>
  <si>
    <t>13. Get the Name of employee 109.</t>
  </si>
  <si>
    <t>12. Return the Department for employee 108.</t>
  </si>
  <si>
    <t>11. Find the Bonus % of 102 and calculate the Bonus Amount.</t>
  </si>
  <si>
    <t>10. Lookup the Location of 107.</t>
  </si>
  <si>
    <t>New York</t>
  </si>
  <si>
    <t>IT</t>
  </si>
  <si>
    <t>Jack White</t>
  </si>
  <si>
    <t>9. Find the Salary of 105 and add the Bonus % to compute total compensation.</t>
  </si>
  <si>
    <t>Boston</t>
  </si>
  <si>
    <t>Finance</t>
  </si>
  <si>
    <t>Irene Scott</t>
  </si>
  <si>
    <t>8. Find the Name of the employee who earns 62,000.</t>
  </si>
  <si>
    <t>Chicago</t>
  </si>
  <si>
    <t>Henry Adams</t>
  </si>
  <si>
    <t>7. Retrieve the Department of 103.</t>
  </si>
  <si>
    <t>San Diego</t>
  </si>
  <si>
    <t>Grace Hall</t>
  </si>
  <si>
    <t>6. Using EmpID, get the Salary of 110.</t>
  </si>
  <si>
    <t>Frank Lee</t>
  </si>
  <si>
    <t>5. Find the Location of employee 101.</t>
  </si>
  <si>
    <t>Emily Davis</t>
  </si>
  <si>
    <t>4. Retrieve the Bonus % for EmpID = 109.</t>
  </si>
  <si>
    <t>David Chen</t>
  </si>
  <si>
    <t>3. Find the Salary of employee 102.</t>
  </si>
  <si>
    <t>Carol Jones</t>
  </si>
  <si>
    <t>2. Find the Department of employee 106.</t>
  </si>
  <si>
    <t>Bob Smith</t>
  </si>
  <si>
    <t>1. Find the Name of the employee with EmpID = 104.</t>
  </si>
  <si>
    <t>Alice Wong</t>
  </si>
  <si>
    <t>Solution</t>
  </si>
  <si>
    <t>Problem</t>
  </si>
  <si>
    <t>Bonus %</t>
  </si>
  <si>
    <t>Salary</t>
  </si>
  <si>
    <t>Location</t>
  </si>
  <si>
    <t>Department</t>
  </si>
  <si>
    <t>EmpID</t>
  </si>
  <si>
    <t>Estelle Cormack</t>
  </si>
  <si>
    <t>Johnny Slash</t>
  </si>
  <si>
    <t>Ian Nash</t>
  </si>
  <si>
    <t>Find the Salary of the following employees:</t>
  </si>
  <si>
    <t>Employee ID</t>
  </si>
  <si>
    <t>Return the Location of the following employees:</t>
  </si>
  <si>
    <t>What's the age of Estelle Cormack?</t>
  </si>
  <si>
    <t>What is the name of Employee ID 58369?</t>
  </si>
  <si>
    <t>Delhi</t>
  </si>
  <si>
    <t>Christopher Fallon</t>
  </si>
  <si>
    <t>Hong Kong</t>
  </si>
  <si>
    <t>Cairo</t>
  </si>
  <si>
    <t>Williamr Black</t>
  </si>
  <si>
    <t>Warsaw</t>
  </si>
  <si>
    <t>Eric Green</t>
  </si>
  <si>
    <t>Capetown</t>
  </si>
  <si>
    <t>Thomas Davies</t>
  </si>
  <si>
    <t>Bangkok</t>
  </si>
  <si>
    <t>Paul Bell</t>
  </si>
  <si>
    <t>Michael Kaye</t>
  </si>
  <si>
    <t>Shanghai</t>
  </si>
  <si>
    <t>Margaret Turley</t>
  </si>
  <si>
    <t>Thomas Bettle</t>
  </si>
  <si>
    <t>Berlin</t>
  </si>
  <si>
    <t>William Johnson</t>
  </si>
  <si>
    <t>Garry Manship</t>
  </si>
  <si>
    <t>Below is a list of the employees who work in your company:</t>
  </si>
  <si>
    <t>Data</t>
  </si>
  <si>
    <t>Employee Name</t>
  </si>
  <si>
    <t>John Doe</t>
  </si>
  <si>
    <t>Jane Smith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</si>
  <si>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</si>
  <si>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</si>
  <si>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</si>
  <si>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</si>
  <si>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</si>
  <si>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</si>
  <si>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</si>
  <si>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Bonus</t>
  </si>
  <si>
    <t>Total Pay</t>
  </si>
  <si>
    <t>What is the department of employee with ID 102?</t>
  </si>
  <si>
    <t>What is the salary of employee with ID 105?</t>
  </si>
  <si>
    <t xml:space="preserve">What is the total pay of employee with ID 107? </t>
  </si>
  <si>
    <t xml:space="preserve">Explanation: </t>
  </si>
  <si>
    <t>Hlookup Formula  in Excel</t>
  </si>
  <si>
    <t>Jan</t>
  </si>
  <si>
    <t>Feb</t>
  </si>
  <si>
    <t>Mar</t>
  </si>
  <si>
    <t>Apr</t>
  </si>
  <si>
    <t>May</t>
  </si>
  <si>
    <t>Jun</t>
  </si>
  <si>
    <t>Mike</t>
  </si>
  <si>
    <t>James</t>
  </si>
  <si>
    <t>John</t>
  </si>
  <si>
    <t>Jeff</t>
  </si>
  <si>
    <t>8. VLOOKUP</t>
  </si>
  <si>
    <t xml:space="preserve">Team </t>
  </si>
  <si>
    <t>Country</t>
  </si>
  <si>
    <t>Champions league</t>
  </si>
  <si>
    <t>Games played</t>
  </si>
  <si>
    <t>Points earned</t>
  </si>
  <si>
    <t>Champions 
league</t>
  </si>
  <si>
    <t>Borussia</t>
  </si>
  <si>
    <t>Germany</t>
  </si>
  <si>
    <t>Yes</t>
  </si>
  <si>
    <t>Lazio</t>
  </si>
  <si>
    <t>Milan</t>
  </si>
  <si>
    <t>Italy</t>
  </si>
  <si>
    <t>Manchester United</t>
  </si>
  <si>
    <t>England</t>
  </si>
  <si>
    <t>Hamburger</t>
  </si>
  <si>
    <t>No</t>
  </si>
  <si>
    <t>Fiorentina</t>
  </si>
  <si>
    <t>Bayern</t>
  </si>
  <si>
    <t>Liverpool</t>
  </si>
  <si>
    <t>Arsenal</t>
  </si>
  <si>
    <t>8. HLOOKUP</t>
  </si>
  <si>
    <t>Product ID</t>
  </si>
  <si>
    <t>Product Name</t>
  </si>
  <si>
    <t>Category</t>
  </si>
  <si>
    <t>Region</t>
  </si>
  <si>
    <t>Laptop</t>
  </si>
  <si>
    <t>Electronics</t>
  </si>
  <si>
    <t>North</t>
  </si>
  <si>
    <t>Phone</t>
  </si>
  <si>
    <t>South</t>
  </si>
  <si>
    <t>Chair</t>
  </si>
  <si>
    <t>Furniture</t>
  </si>
  <si>
    <t>East</t>
  </si>
  <si>
    <t>Desk</t>
  </si>
  <si>
    <t>West</t>
  </si>
  <si>
    <t>Monitor</t>
  </si>
  <si>
    <t>INDEX MATCH Practice Problems &amp; Solutions</t>
  </si>
  <si>
    <t>Formula</t>
  </si>
  <si>
    <t>Answer</t>
  </si>
  <si>
    <t>Find the sales of 'Phone'</t>
  </si>
  <si>
    <t>Get the Region for Product ID 104</t>
  </si>
  <si>
    <t>Find the Category of 'Monitor'</t>
  </si>
  <si>
    <t>Lookup Sales for Product ID 101</t>
  </si>
  <si>
    <t>Find the Product Name sold in the East region</t>
  </si>
  <si>
    <t>Return the Region for Product Name = Chair</t>
  </si>
  <si>
    <t>Find Sales where Product ID = 105</t>
  </si>
  <si>
    <t>Get Category for Product ID 102</t>
  </si>
  <si>
    <t>Find Product Name for Sales = 2500</t>
  </si>
  <si>
    <t>Lookup Region for Product Name =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</si>
</sst>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rgb="FF000000"/>
      <name val="Calibri"/>
      <family val="2"/>
      <charset val="177"/>
    </font>
    <font>
      <sz val="11"/>
      <color rgb="FF000000"/>
      <name val="Calibri"/>
      <family val="2"/>
      <charset val="177"/>
    </font>
    <font>
      <sz val="18"/>
      <color theme="3"/>
      <name val="Calibri Light"/>
      <family val="2"/>
      <scheme val="major"/>
    </font>
    <font>
      <sz val="11"/>
      <color theme="1"/>
      <name val="Calibri"/>
      <family val="2"/>
      <charset val="177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0"/>
      <name val="Calibri Light"/>
      <family val="2"/>
      <scheme val="major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2060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/>
  </cellStyleXfs>
  <cellXfs count="64">
    <xf numFmtId="0" fontId="0" fillId="0" borderId="0" xfId="0"/>
    <xf numFmtId="0" fontId="1" fillId="0" borderId="0" xfId="0" applyFont="1"/>
    <xf numFmtId="0" fontId="0" fillId="2" borderId="0" xfId="0" applyFill="1" applyProtection="1">
      <protection locked="0"/>
    </xf>
    <xf numFmtId="0" fontId="2" fillId="0" borderId="0" xfId="0" quotePrefix="1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 applyAlignment="1">
      <alignment vertical="center"/>
    </xf>
    <xf numFmtId="0" fontId="5" fillId="0" borderId="0" xfId="0" applyFont="1"/>
    <xf numFmtId="0" fontId="4" fillId="2" borderId="1" xfId="0" applyFont="1" applyFill="1" applyBorder="1"/>
    <xf numFmtId="0" fontId="6" fillId="0" borderId="0" xfId="0" applyFont="1" applyAlignment="1">
      <alignment wrapText="1"/>
    </xf>
    <xf numFmtId="14" fontId="7" fillId="0" borderId="0" xfId="0" applyNumberFormat="1" applyFont="1" applyAlignment="1">
      <alignment wrapText="1"/>
    </xf>
    <xf numFmtId="164" fontId="7" fillId="0" borderId="0" xfId="0" applyNumberFormat="1" applyFont="1" applyAlignment="1">
      <alignment horizontal="left" wrapText="1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9" fillId="0" borderId="0" xfId="2"/>
    <xf numFmtId="0" fontId="10" fillId="0" borderId="0" xfId="2" applyFont="1"/>
    <xf numFmtId="0" fontId="11" fillId="0" borderId="0" xfId="2" applyFont="1"/>
    <xf numFmtId="0" fontId="10" fillId="4" borderId="2" xfId="2" applyFont="1" applyFill="1" applyBorder="1" applyProtection="1">
      <protection locked="0"/>
    </xf>
    <xf numFmtId="0" fontId="10" fillId="0" borderId="3" xfId="2" applyFont="1" applyBorder="1"/>
    <xf numFmtId="0" fontId="11" fillId="0" borderId="4" xfId="2" applyFont="1" applyBorder="1"/>
    <xf numFmtId="0" fontId="11" fillId="0" borderId="5" xfId="2" applyFont="1" applyBorder="1"/>
    <xf numFmtId="0" fontId="11" fillId="0" borderId="0" xfId="2" applyFont="1" applyAlignment="1">
      <alignment horizontal="right"/>
    </xf>
    <xf numFmtId="0" fontId="10" fillId="0" borderId="3" xfId="2" applyFont="1" applyBorder="1" applyAlignment="1">
      <alignment horizontal="left"/>
    </xf>
    <xf numFmtId="0" fontId="10" fillId="4" borderId="0" xfId="2" applyFont="1" applyFill="1" applyProtection="1">
      <protection locked="0"/>
    </xf>
    <xf numFmtId="0" fontId="10" fillId="0" borderId="2" xfId="2" applyFont="1" applyBorder="1" applyAlignment="1">
      <alignment horizontal="right"/>
    </xf>
    <xf numFmtId="0" fontId="10" fillId="0" borderId="2" xfId="2" applyFont="1" applyBorder="1"/>
    <xf numFmtId="0" fontId="11" fillId="5" borderId="4" xfId="2" applyFont="1" applyFill="1" applyBorder="1"/>
    <xf numFmtId="0" fontId="11" fillId="5" borderId="5" xfId="2" applyFont="1" applyFill="1" applyBorder="1"/>
    <xf numFmtId="0" fontId="12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0" xfId="0" applyFont="1"/>
    <xf numFmtId="0" fontId="12" fillId="2" borderId="1" xfId="0" applyFont="1" applyFill="1" applyBorder="1"/>
    <xf numFmtId="0" fontId="12" fillId="0" borderId="0" xfId="0" applyFont="1" applyAlignment="1">
      <alignment horizontal="left" indent="1"/>
    </xf>
    <xf numFmtId="0" fontId="15" fillId="6" borderId="0" xfId="1" applyFont="1" applyFill="1"/>
    <xf numFmtId="0" fontId="8" fillId="0" borderId="0" xfId="1" applyFill="1"/>
    <xf numFmtId="0" fontId="15" fillId="6" borderId="0" xfId="1" applyFont="1" applyFill="1" applyAlignment="1">
      <alignment horizontal="center"/>
    </xf>
    <xf numFmtId="0" fontId="8" fillId="0" borderId="0" xfId="1" applyAlignment="1">
      <alignment horizontal="center"/>
    </xf>
    <xf numFmtId="0" fontId="0" fillId="0" borderId="0" xfId="0" applyAlignment="1">
      <alignment horizontal="center"/>
    </xf>
    <xf numFmtId="0" fontId="8" fillId="0" borderId="6" xfId="1" applyBorder="1" applyAlignment="1">
      <alignment horizontal="center"/>
    </xf>
    <xf numFmtId="0" fontId="8" fillId="0" borderId="7" xfId="1" applyBorder="1" applyAlignment="1">
      <alignment horizontal="center"/>
    </xf>
    <xf numFmtId="0" fontId="8" fillId="0" borderId="0" xfId="1"/>
    <xf numFmtId="0" fontId="8" fillId="0" borderId="8" xfId="1" applyBorder="1" applyAlignment="1">
      <alignment horizontal="center"/>
    </xf>
    <xf numFmtId="0" fontId="8" fillId="0" borderId="1" xfId="1" applyBorder="1" applyAlignment="1">
      <alignment horizontal="center"/>
    </xf>
    <xf numFmtId="0" fontId="8" fillId="0" borderId="9" xfId="1" applyBorder="1" applyAlignment="1">
      <alignment horizontal="center"/>
    </xf>
    <xf numFmtId="0" fontId="8" fillId="0" borderId="10" xfId="1" applyBorder="1" applyAlignment="1">
      <alignment horizontal="center"/>
    </xf>
    <xf numFmtId="0" fontId="8" fillId="0" borderId="0" xfId="1" applyBorder="1" applyAlignment="1">
      <alignment horizontal="center"/>
    </xf>
    <xf numFmtId="0" fontId="8" fillId="0" borderId="0" xfId="1" applyBorder="1"/>
    <xf numFmtId="0" fontId="16" fillId="7" borderId="0" xfId="0" applyFont="1" applyFill="1"/>
    <xf numFmtId="0" fontId="17" fillId="7" borderId="0" xfId="0" applyFont="1" applyFill="1"/>
    <xf numFmtId="0" fontId="18" fillId="7" borderId="11" xfId="0" applyFont="1" applyFill="1" applyBorder="1"/>
    <xf numFmtId="0" fontId="18" fillId="7" borderId="11" xfId="0" applyFont="1" applyFill="1" applyBorder="1" applyAlignment="1">
      <alignment wrapText="1"/>
    </xf>
    <xf numFmtId="0" fontId="17" fillId="7" borderId="0" xfId="0" applyFont="1" applyFill="1" applyAlignment="1">
      <alignment horizontal="right"/>
    </xf>
    <xf numFmtId="0" fontId="18" fillId="7" borderId="0" xfId="0" applyFont="1" applyFill="1"/>
    <xf numFmtId="0" fontId="18" fillId="7" borderId="11" xfId="0" applyFont="1" applyFill="1" applyBorder="1" applyAlignment="1">
      <alignment horizontal="left"/>
    </xf>
    <xf numFmtId="0" fontId="17" fillId="7" borderId="0" xfId="0" applyFont="1" applyFill="1" applyAlignment="1">
      <alignment horizontal="center"/>
    </xf>
    <xf numFmtId="0" fontId="17" fillId="7" borderId="0" xfId="0" applyFont="1" applyFill="1" applyAlignment="1">
      <alignment horizontal="left"/>
    </xf>
    <xf numFmtId="0" fontId="11" fillId="0" borderId="0" xfId="2" applyFont="1"/>
    <xf numFmtId="0" fontId="9" fillId="0" borderId="0" xfId="2"/>
    <xf numFmtId="0" fontId="10" fillId="0" borderId="0" xfId="2" applyFont="1"/>
    <xf numFmtId="0" fontId="4" fillId="3" borderId="0" xfId="0" applyFont="1" applyFill="1" applyAlignment="1">
      <alignment horizontal="left" vertical="center" wrapText="1"/>
    </xf>
  </cellXfs>
  <cellStyles count="3">
    <cellStyle name="Normal" xfId="0" builtinId="0"/>
    <cellStyle name="Normal 2" xfId="2" xr:uid="{365E846F-4BD8-41CC-85F5-568B304DEE84}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15335</v>
      </c>
      <c r="B2" t="s">
        <v>3</v>
      </c>
      <c r="C2">
        <v>40</v>
      </c>
    </row>
    <row r="3" spans="1:3" x14ac:dyDescent="0.3">
      <c r="A3">
        <v>57564</v>
      </c>
      <c r="B3" t="s">
        <v>4</v>
      </c>
      <c r="C3">
        <v>50</v>
      </c>
    </row>
    <row r="4" spans="1:3" x14ac:dyDescent="0.3">
      <c r="A4">
        <v>73546</v>
      </c>
      <c r="B4" t="s">
        <v>5</v>
      </c>
      <c r="C4">
        <v>61</v>
      </c>
    </row>
    <row r="5" spans="1:3" x14ac:dyDescent="0.3">
      <c r="A5">
        <v>66475</v>
      </c>
      <c r="B5" t="s">
        <v>6</v>
      </c>
      <c r="C5">
        <v>23</v>
      </c>
    </row>
    <row r="6" spans="1:3" x14ac:dyDescent="0.3">
      <c r="A6">
        <v>54746</v>
      </c>
      <c r="B6" t="s">
        <v>7</v>
      </c>
      <c r="C6">
        <v>30</v>
      </c>
    </row>
    <row r="9" spans="1:3" x14ac:dyDescent="0.3">
      <c r="A9" s="1" t="s">
        <v>8</v>
      </c>
    </row>
    <row r="11" spans="1:3" x14ac:dyDescent="0.3">
      <c r="A11" s="1" t="s">
        <v>0</v>
      </c>
      <c r="B11">
        <v>57564</v>
      </c>
    </row>
    <row r="12" spans="1:3" x14ac:dyDescent="0.3">
      <c r="A12" s="1" t="s">
        <v>2</v>
      </c>
      <c r="B12" s="2"/>
    </row>
    <row r="14" spans="1:3" x14ac:dyDescent="0.3">
      <c r="B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B2F6-7230-40A4-AEC8-F514E68CD77B}">
  <dimension ref="A1:I37"/>
  <sheetViews>
    <sheetView workbookViewId="0">
      <selection activeCell="C24" sqref="C24"/>
    </sheetView>
  </sheetViews>
  <sheetFormatPr defaultColWidth="14.44140625" defaultRowHeight="14.4" x14ac:dyDescent="0.3"/>
  <cols>
    <col min="1" max="1" width="2" style="16" bestFit="1" customWidth="1"/>
    <col min="2" max="2" width="16.44140625" style="16" customWidth="1"/>
    <col min="3" max="3" width="20.5546875" style="16" customWidth="1"/>
    <col min="4" max="16384" width="14.44140625" style="16"/>
  </cols>
  <sheetData>
    <row r="1" spans="1:9" x14ac:dyDescent="0.3">
      <c r="A1" s="18"/>
      <c r="B1" s="60" t="s">
        <v>116</v>
      </c>
      <c r="C1" s="61"/>
      <c r="D1" s="61"/>
      <c r="E1" s="61"/>
      <c r="F1" s="17"/>
      <c r="G1" s="17"/>
      <c r="H1" s="17"/>
      <c r="I1" s="17"/>
    </row>
    <row r="2" spans="1:9" x14ac:dyDescent="0.3">
      <c r="A2" s="18"/>
      <c r="B2" s="17"/>
      <c r="C2" s="17"/>
      <c r="D2" s="17"/>
      <c r="E2" s="17"/>
      <c r="F2" s="17"/>
      <c r="G2" s="17"/>
      <c r="H2" s="17"/>
      <c r="I2" s="17"/>
    </row>
    <row r="3" spans="1:9" x14ac:dyDescent="0.3">
      <c r="A3" s="18"/>
      <c r="B3" s="29" t="s">
        <v>94</v>
      </c>
      <c r="C3" s="28" t="s">
        <v>1</v>
      </c>
      <c r="D3" s="28" t="s">
        <v>87</v>
      </c>
      <c r="E3" s="28" t="s">
        <v>86</v>
      </c>
      <c r="F3" s="28" t="s">
        <v>2</v>
      </c>
      <c r="G3" s="17"/>
      <c r="H3" s="17"/>
      <c r="I3" s="17"/>
    </row>
    <row r="4" spans="1:9" x14ac:dyDescent="0.3">
      <c r="A4" s="18"/>
      <c r="B4" s="24">
        <v>56815</v>
      </c>
      <c r="C4" s="27" t="s">
        <v>115</v>
      </c>
      <c r="D4" s="27" t="s">
        <v>100</v>
      </c>
      <c r="E4" s="26">
        <v>13836</v>
      </c>
      <c r="F4" s="26">
        <v>25</v>
      </c>
      <c r="G4" s="17"/>
      <c r="H4" s="17"/>
      <c r="I4" s="17"/>
    </row>
    <row r="5" spans="1:9" x14ac:dyDescent="0.3">
      <c r="A5" s="18"/>
      <c r="B5" s="24">
        <v>51186</v>
      </c>
      <c r="C5" s="27" t="s">
        <v>114</v>
      </c>
      <c r="D5" s="27" t="s">
        <v>113</v>
      </c>
      <c r="E5" s="26">
        <v>11771</v>
      </c>
      <c r="F5" s="26">
        <v>32</v>
      </c>
      <c r="G5" s="17"/>
      <c r="H5" s="17"/>
      <c r="I5" s="17"/>
    </row>
    <row r="6" spans="1:9" x14ac:dyDescent="0.3">
      <c r="A6" s="18"/>
      <c r="B6" s="24">
        <v>51511</v>
      </c>
      <c r="C6" s="27" t="s">
        <v>112</v>
      </c>
      <c r="D6" s="27" t="s">
        <v>107</v>
      </c>
      <c r="E6" s="26">
        <v>13046</v>
      </c>
      <c r="F6" s="26">
        <v>35</v>
      </c>
      <c r="G6" s="17"/>
      <c r="H6" s="17"/>
      <c r="I6" s="17"/>
    </row>
    <row r="7" spans="1:9" x14ac:dyDescent="0.3">
      <c r="A7" s="18"/>
      <c r="B7" s="24">
        <v>50890</v>
      </c>
      <c r="C7" s="27" t="s">
        <v>92</v>
      </c>
      <c r="D7" s="27" t="s">
        <v>101</v>
      </c>
      <c r="E7" s="26">
        <v>18276</v>
      </c>
      <c r="F7" s="26">
        <v>32</v>
      </c>
      <c r="G7" s="17"/>
      <c r="H7" s="17"/>
      <c r="I7" s="17"/>
    </row>
    <row r="8" spans="1:9" x14ac:dyDescent="0.3">
      <c r="A8" s="18"/>
      <c r="B8" s="24">
        <v>53700</v>
      </c>
      <c r="C8" s="27" t="s">
        <v>111</v>
      </c>
      <c r="D8" s="27" t="s">
        <v>110</v>
      </c>
      <c r="E8" s="26">
        <v>19327</v>
      </c>
      <c r="F8" s="26">
        <v>26</v>
      </c>
      <c r="G8" s="17"/>
      <c r="H8" s="17"/>
      <c r="I8" s="17"/>
    </row>
    <row r="9" spans="1:9" x14ac:dyDescent="0.3">
      <c r="A9" s="18"/>
      <c r="B9" s="24">
        <v>55879</v>
      </c>
      <c r="C9" s="27" t="s">
        <v>109</v>
      </c>
      <c r="D9" s="27" t="s">
        <v>105</v>
      </c>
      <c r="E9" s="26">
        <v>18996</v>
      </c>
      <c r="F9" s="26">
        <v>35</v>
      </c>
      <c r="G9" s="17"/>
      <c r="H9" s="17"/>
      <c r="I9" s="17"/>
    </row>
    <row r="10" spans="1:9" x14ac:dyDescent="0.3">
      <c r="A10" s="18"/>
      <c r="B10" s="24">
        <v>59848</v>
      </c>
      <c r="C10" s="27" t="s">
        <v>108</v>
      </c>
      <c r="D10" s="27" t="s">
        <v>107</v>
      </c>
      <c r="E10" s="26">
        <v>10387</v>
      </c>
      <c r="F10" s="26">
        <v>25</v>
      </c>
      <c r="G10" s="17"/>
      <c r="H10" s="17"/>
      <c r="I10" s="17"/>
    </row>
    <row r="11" spans="1:9" x14ac:dyDescent="0.3">
      <c r="A11" s="18"/>
      <c r="B11" s="24">
        <v>58369</v>
      </c>
      <c r="C11" s="27" t="s">
        <v>106</v>
      </c>
      <c r="D11" s="27" t="s">
        <v>105</v>
      </c>
      <c r="E11" s="26">
        <v>12566</v>
      </c>
      <c r="F11" s="26">
        <v>37</v>
      </c>
      <c r="G11" s="17"/>
      <c r="H11" s="17"/>
      <c r="I11" s="17"/>
    </row>
    <row r="12" spans="1:9" x14ac:dyDescent="0.3">
      <c r="A12" s="18"/>
      <c r="B12" s="24">
        <v>50217</v>
      </c>
      <c r="C12" s="27" t="s">
        <v>104</v>
      </c>
      <c r="D12" s="27" t="s">
        <v>103</v>
      </c>
      <c r="E12" s="26">
        <v>16406</v>
      </c>
      <c r="F12" s="26">
        <v>42</v>
      </c>
      <c r="G12" s="17"/>
      <c r="H12" s="17"/>
      <c r="I12" s="17"/>
    </row>
    <row r="13" spans="1:9" x14ac:dyDescent="0.3">
      <c r="A13" s="18"/>
      <c r="B13" s="24">
        <v>50695</v>
      </c>
      <c r="C13" s="27" t="s">
        <v>102</v>
      </c>
      <c r="D13" s="27" t="s">
        <v>101</v>
      </c>
      <c r="E13" s="26">
        <v>15784</v>
      </c>
      <c r="F13" s="26">
        <v>43</v>
      </c>
      <c r="G13" s="17"/>
      <c r="H13" s="17"/>
      <c r="I13" s="17"/>
    </row>
    <row r="14" spans="1:9" x14ac:dyDescent="0.3">
      <c r="A14" s="18"/>
      <c r="B14" s="24">
        <v>59673</v>
      </c>
      <c r="C14" s="27" t="s">
        <v>90</v>
      </c>
      <c r="D14" s="27" t="s">
        <v>100</v>
      </c>
      <c r="E14" s="26">
        <v>10959</v>
      </c>
      <c r="F14" s="26">
        <v>30</v>
      </c>
      <c r="G14" s="17"/>
      <c r="H14" s="17"/>
      <c r="I14" s="17"/>
    </row>
    <row r="15" spans="1:9" x14ac:dyDescent="0.3">
      <c r="A15" s="18"/>
      <c r="B15" s="24">
        <v>52130</v>
      </c>
      <c r="C15" s="27" t="s">
        <v>99</v>
      </c>
      <c r="D15" s="27" t="s">
        <v>98</v>
      </c>
      <c r="E15" s="26">
        <v>14562</v>
      </c>
      <c r="F15" s="26">
        <v>32</v>
      </c>
      <c r="G15" s="17"/>
      <c r="H15" s="17"/>
      <c r="I15" s="17"/>
    </row>
    <row r="16" spans="1:9" x14ac:dyDescent="0.3">
      <c r="A16" s="18"/>
      <c r="B16" s="17"/>
      <c r="C16" s="17"/>
      <c r="D16" s="17"/>
      <c r="E16" s="17"/>
      <c r="F16" s="17"/>
      <c r="G16" s="17"/>
      <c r="H16" s="17"/>
      <c r="I16" s="17"/>
    </row>
    <row r="17" spans="1:9" x14ac:dyDescent="0.3">
      <c r="A17" s="23">
        <v>1</v>
      </c>
      <c r="B17" s="17" t="s">
        <v>97</v>
      </c>
      <c r="E17" s="25"/>
      <c r="F17" s="17"/>
      <c r="G17" s="17"/>
      <c r="H17" s="17"/>
      <c r="I17" s="17"/>
    </row>
    <row r="18" spans="1:9" x14ac:dyDescent="0.3">
      <c r="A18" s="18"/>
      <c r="B18" s="17"/>
      <c r="C18" s="17"/>
      <c r="D18" s="17"/>
      <c r="E18" s="17"/>
      <c r="F18" s="17"/>
      <c r="G18" s="17"/>
      <c r="H18" s="17"/>
      <c r="I18" s="17"/>
    </row>
    <row r="19" spans="1:9" x14ac:dyDescent="0.3">
      <c r="A19" s="23">
        <v>2</v>
      </c>
      <c r="B19" s="17" t="s">
        <v>96</v>
      </c>
      <c r="D19" s="17"/>
      <c r="E19" s="25"/>
      <c r="F19" s="17"/>
      <c r="G19" s="17"/>
      <c r="H19" s="17"/>
      <c r="I19" s="17"/>
    </row>
    <row r="20" spans="1:9" x14ac:dyDescent="0.3">
      <c r="A20" s="18"/>
      <c r="B20" s="17"/>
      <c r="C20" s="17"/>
      <c r="D20" s="17"/>
      <c r="E20" s="17"/>
      <c r="F20" s="17"/>
      <c r="G20" s="17"/>
      <c r="H20" s="17"/>
      <c r="I20" s="17"/>
    </row>
    <row r="21" spans="1:9" x14ac:dyDescent="0.3">
      <c r="A21" s="23">
        <v>3</v>
      </c>
      <c r="B21" s="62" t="s">
        <v>95</v>
      </c>
      <c r="C21" s="61"/>
      <c r="D21" s="61"/>
      <c r="E21" s="17"/>
      <c r="F21" s="17"/>
      <c r="G21" s="17"/>
      <c r="H21" s="17"/>
      <c r="I21" s="17"/>
    </row>
    <row r="22" spans="1:9" x14ac:dyDescent="0.3">
      <c r="A22" s="18"/>
      <c r="B22" s="17"/>
      <c r="C22" s="17"/>
      <c r="D22" s="17"/>
      <c r="E22" s="17"/>
      <c r="F22" s="17"/>
      <c r="G22" s="17"/>
      <c r="H22" s="17"/>
      <c r="I22" s="17"/>
    </row>
    <row r="23" spans="1:9" x14ac:dyDescent="0.3">
      <c r="A23" s="18"/>
      <c r="B23" s="22" t="s">
        <v>94</v>
      </c>
      <c r="C23" s="21" t="s">
        <v>87</v>
      </c>
      <c r="D23" s="17"/>
      <c r="E23" s="17"/>
      <c r="F23" s="17"/>
      <c r="G23" s="17"/>
      <c r="H23" s="17"/>
      <c r="I23" s="17"/>
    </row>
    <row r="24" spans="1:9" x14ac:dyDescent="0.3">
      <c r="A24" s="18"/>
      <c r="B24" s="24">
        <v>55879</v>
      </c>
      <c r="C24" s="19"/>
      <c r="D24" s="17"/>
      <c r="E24" s="17"/>
      <c r="F24" s="17"/>
      <c r="G24" s="17"/>
      <c r="H24" s="17"/>
      <c r="I24" s="17"/>
    </row>
    <row r="25" spans="1:9" x14ac:dyDescent="0.3">
      <c r="A25" s="18"/>
      <c r="B25" s="24">
        <v>50217</v>
      </c>
      <c r="C25" s="19"/>
      <c r="D25" s="17"/>
      <c r="E25" s="17"/>
      <c r="F25" s="17"/>
      <c r="G25" s="17"/>
      <c r="H25" s="17"/>
      <c r="I25" s="17"/>
    </row>
    <row r="26" spans="1:9" x14ac:dyDescent="0.3">
      <c r="A26" s="18"/>
      <c r="B26" s="24">
        <v>50695</v>
      </c>
      <c r="C26" s="19"/>
      <c r="D26" s="17"/>
      <c r="E26" s="17"/>
      <c r="F26" s="17"/>
      <c r="G26" s="17"/>
      <c r="H26" s="17"/>
      <c r="I26" s="17"/>
    </row>
    <row r="27" spans="1:9" x14ac:dyDescent="0.3">
      <c r="A27" s="18"/>
      <c r="B27" s="17"/>
      <c r="C27" s="17"/>
      <c r="D27" s="17"/>
      <c r="E27" s="17"/>
      <c r="F27" s="17"/>
      <c r="G27" s="17"/>
      <c r="H27" s="17"/>
      <c r="I27" s="17"/>
    </row>
    <row r="28" spans="1:9" x14ac:dyDescent="0.3">
      <c r="A28" s="23">
        <v>4</v>
      </c>
      <c r="B28" s="62" t="s">
        <v>93</v>
      </c>
      <c r="C28" s="61"/>
      <c r="D28" s="61"/>
      <c r="E28" s="17"/>
      <c r="F28" s="17"/>
      <c r="G28" s="17"/>
      <c r="H28" s="17"/>
      <c r="I28" s="17"/>
    </row>
    <row r="29" spans="1:9" x14ac:dyDescent="0.3">
      <c r="A29" s="18"/>
      <c r="B29" s="17"/>
      <c r="C29" s="17"/>
      <c r="D29" s="17"/>
      <c r="E29" s="17"/>
      <c r="F29" s="17"/>
      <c r="G29" s="17"/>
      <c r="H29" s="17"/>
      <c r="I29" s="17"/>
    </row>
    <row r="30" spans="1:9" x14ac:dyDescent="0.3">
      <c r="A30" s="18"/>
      <c r="B30" s="22" t="s">
        <v>1</v>
      </c>
      <c r="C30" s="21" t="s">
        <v>86</v>
      </c>
      <c r="D30" s="17"/>
      <c r="E30" s="17"/>
      <c r="F30" s="17"/>
      <c r="G30" s="17"/>
      <c r="H30" s="17"/>
      <c r="I30" s="17"/>
    </row>
    <row r="31" spans="1:9" x14ac:dyDescent="0.3">
      <c r="A31" s="18"/>
      <c r="B31" s="20" t="s">
        <v>92</v>
      </c>
      <c r="C31" s="19"/>
      <c r="D31" s="17"/>
      <c r="E31" s="17"/>
      <c r="F31" s="17"/>
      <c r="G31" s="17"/>
      <c r="H31" s="17"/>
      <c r="I31" s="17"/>
    </row>
    <row r="32" spans="1:9" x14ac:dyDescent="0.3">
      <c r="A32" s="18"/>
      <c r="B32" s="20" t="s">
        <v>91</v>
      </c>
      <c r="C32" s="19"/>
      <c r="D32" s="17"/>
      <c r="E32" s="17"/>
      <c r="F32" s="17"/>
      <c r="G32" s="17"/>
      <c r="H32" s="17"/>
      <c r="I32" s="17"/>
    </row>
    <row r="33" spans="1:9" x14ac:dyDescent="0.3">
      <c r="A33" s="18"/>
      <c r="B33" s="20" t="s">
        <v>90</v>
      </c>
      <c r="C33" s="19"/>
      <c r="D33" s="17"/>
      <c r="E33" s="17"/>
      <c r="F33" s="17"/>
      <c r="G33" s="17"/>
      <c r="H33" s="17"/>
      <c r="I33" s="17"/>
    </row>
    <row r="34" spans="1:9" x14ac:dyDescent="0.3">
      <c r="A34" s="18"/>
      <c r="B34" s="17"/>
      <c r="C34" s="17"/>
      <c r="D34" s="17"/>
      <c r="E34" s="17"/>
      <c r="F34" s="17"/>
      <c r="G34" s="17"/>
      <c r="H34" s="17"/>
      <c r="I34" s="17"/>
    </row>
    <row r="35" spans="1:9" x14ac:dyDescent="0.3">
      <c r="A35" s="18"/>
      <c r="B35" s="17"/>
      <c r="C35" s="17"/>
      <c r="D35" s="17"/>
      <c r="E35" s="17"/>
      <c r="F35" s="17"/>
      <c r="G35" s="17"/>
      <c r="H35" s="17"/>
      <c r="I35" s="17"/>
    </row>
    <row r="36" spans="1:9" x14ac:dyDescent="0.3">
      <c r="A36" s="18"/>
      <c r="B36" s="17"/>
      <c r="C36" s="17"/>
      <c r="D36" s="17"/>
      <c r="E36" s="17"/>
      <c r="F36" s="17"/>
      <c r="G36" s="17"/>
      <c r="H36" s="17"/>
      <c r="I36" s="17"/>
    </row>
    <row r="37" spans="1:9" x14ac:dyDescent="0.3">
      <c r="A37" s="18"/>
      <c r="B37" s="17"/>
      <c r="C37" s="17"/>
      <c r="D37" s="17"/>
      <c r="E37" s="17"/>
      <c r="F37" s="17"/>
      <c r="G37" s="17"/>
      <c r="H37" s="17"/>
      <c r="I37" s="17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A081-5ACB-4B85-9793-645C71CC7FCD}">
  <dimension ref="A1:K49"/>
  <sheetViews>
    <sheetView showGridLines="0" workbookViewId="0">
      <selection activeCell="C19" sqref="C19"/>
    </sheetView>
  </sheetViews>
  <sheetFormatPr defaultColWidth="8.6640625" defaultRowHeight="13.8" outlineLevelRow="1" x14ac:dyDescent="0.3"/>
  <cols>
    <col min="1" max="1" width="2.5546875" style="5" bestFit="1" customWidth="1"/>
    <col min="2" max="2" width="15.6640625" style="5" bestFit="1" customWidth="1"/>
    <col min="3" max="3" width="12.33203125" style="5" bestFit="1" customWidth="1"/>
    <col min="4" max="4" width="8.44140625" style="5" bestFit="1" customWidth="1"/>
    <col min="5" max="5" width="11.44140625" style="5" bestFit="1" customWidth="1"/>
    <col min="6" max="16384" width="8.6640625" style="5"/>
  </cols>
  <sheetData>
    <row r="1" spans="2:7" x14ac:dyDescent="0.3">
      <c r="B1" s="4" t="s">
        <v>9</v>
      </c>
      <c r="F1" s="5" t="s">
        <v>10</v>
      </c>
    </row>
    <row r="2" spans="2:7" x14ac:dyDescent="0.3">
      <c r="B2" s="6" t="s">
        <v>1</v>
      </c>
      <c r="C2" s="6" t="s">
        <v>2</v>
      </c>
      <c r="D2" s="6" t="s">
        <v>11</v>
      </c>
      <c r="E2" s="6" t="s">
        <v>12</v>
      </c>
    </row>
    <row r="3" spans="2:7" x14ac:dyDescent="0.3">
      <c r="B3" s="7" t="s">
        <v>13</v>
      </c>
      <c r="C3" s="7">
        <v>35</v>
      </c>
      <c r="D3" s="7" t="s">
        <v>14</v>
      </c>
      <c r="E3" s="7" t="s">
        <v>15</v>
      </c>
    </row>
    <row r="4" spans="2:7" x14ac:dyDescent="0.3">
      <c r="B4" s="7" t="s">
        <v>16</v>
      </c>
      <c r="C4" s="7">
        <v>42</v>
      </c>
      <c r="D4" s="7" t="s">
        <v>17</v>
      </c>
      <c r="E4" s="7" t="s">
        <v>18</v>
      </c>
    </row>
    <row r="5" spans="2:7" x14ac:dyDescent="0.3">
      <c r="B5" s="7" t="s">
        <v>19</v>
      </c>
      <c r="C5" s="7">
        <v>28</v>
      </c>
      <c r="D5" s="7" t="s">
        <v>14</v>
      </c>
      <c r="E5" s="7" t="s">
        <v>20</v>
      </c>
    </row>
    <row r="6" spans="2:7" x14ac:dyDescent="0.3">
      <c r="B6" s="7" t="s">
        <v>21</v>
      </c>
      <c r="C6" s="7">
        <v>25</v>
      </c>
      <c r="D6" s="7" t="s">
        <v>17</v>
      </c>
      <c r="E6" s="7" t="s">
        <v>22</v>
      </c>
    </row>
    <row r="7" spans="2:7" x14ac:dyDescent="0.3">
      <c r="B7" s="7" t="s">
        <v>23</v>
      </c>
      <c r="C7" s="7">
        <v>31</v>
      </c>
      <c r="D7" s="7" t="s">
        <v>14</v>
      </c>
      <c r="E7" s="7" t="s">
        <v>24</v>
      </c>
    </row>
    <row r="8" spans="2:7" x14ac:dyDescent="0.3">
      <c r="B8" s="7" t="s">
        <v>25</v>
      </c>
      <c r="C8" s="7">
        <v>27</v>
      </c>
      <c r="D8" s="7" t="s">
        <v>17</v>
      </c>
      <c r="E8" s="7" t="s">
        <v>26</v>
      </c>
    </row>
    <row r="9" spans="2:7" x14ac:dyDescent="0.3">
      <c r="B9" s="7" t="s">
        <v>27</v>
      </c>
      <c r="C9" s="7">
        <v>38</v>
      </c>
      <c r="D9" s="7" t="s">
        <v>14</v>
      </c>
      <c r="E9" s="7" t="s">
        <v>28</v>
      </c>
    </row>
    <row r="10" spans="2:7" x14ac:dyDescent="0.3">
      <c r="B10" s="7" t="s">
        <v>29</v>
      </c>
      <c r="C10" s="7">
        <v>29</v>
      </c>
      <c r="D10" s="7" t="s">
        <v>17</v>
      </c>
      <c r="E10" s="7" t="s">
        <v>30</v>
      </c>
    </row>
    <row r="11" spans="2:7" x14ac:dyDescent="0.3">
      <c r="B11" s="7" t="s">
        <v>31</v>
      </c>
      <c r="C11" s="7">
        <v>45</v>
      </c>
      <c r="D11" s="7" t="s">
        <v>14</v>
      </c>
      <c r="E11" s="7" t="s">
        <v>32</v>
      </c>
    </row>
    <row r="12" spans="2:7" x14ac:dyDescent="0.3">
      <c r="B12" s="7" t="s">
        <v>33</v>
      </c>
      <c r="C12" s="7">
        <v>33</v>
      </c>
      <c r="D12" s="7" t="s">
        <v>17</v>
      </c>
      <c r="E12" s="7" t="s">
        <v>34</v>
      </c>
    </row>
    <row r="15" spans="2:7" x14ac:dyDescent="0.3">
      <c r="B15" s="8" t="s">
        <v>35</v>
      </c>
    </row>
    <row r="16" spans="2:7" x14ac:dyDescent="0.3">
      <c r="G16" s="5" t="s">
        <v>36</v>
      </c>
    </row>
    <row r="17" spans="1:11" x14ac:dyDescent="0.3">
      <c r="A17" s="5">
        <v>1</v>
      </c>
      <c r="B17" s="5" t="s">
        <v>37</v>
      </c>
    </row>
    <row r="18" spans="1:11" x14ac:dyDescent="0.3">
      <c r="C18" s="9" t="s">
        <v>38</v>
      </c>
      <c r="D18" s="9"/>
    </row>
    <row r="19" spans="1:11" x14ac:dyDescent="0.3">
      <c r="B19" s="4" t="s">
        <v>39</v>
      </c>
      <c r="C19" s="10"/>
    </row>
    <row r="20" spans="1:11" hidden="1" outlineLevel="1" x14ac:dyDescent="0.3">
      <c r="B20" s="63"/>
      <c r="C20" s="63"/>
      <c r="D20" s="63"/>
      <c r="E20" s="63"/>
      <c r="F20" s="63"/>
      <c r="G20" s="63"/>
      <c r="H20" s="63"/>
      <c r="I20" s="63"/>
      <c r="J20" s="63"/>
      <c r="K20" s="63"/>
    </row>
    <row r="21" spans="1:11" hidden="1" outlineLevel="1" x14ac:dyDescent="0.3">
      <c r="B21" s="63"/>
      <c r="C21" s="63"/>
      <c r="D21" s="63"/>
      <c r="E21" s="63"/>
      <c r="F21" s="63"/>
      <c r="G21" s="63"/>
      <c r="H21" s="63"/>
      <c r="I21" s="63"/>
      <c r="J21" s="63"/>
      <c r="K21" s="63"/>
    </row>
    <row r="22" spans="1:11" hidden="1" outlineLevel="1" x14ac:dyDescent="0.3">
      <c r="B22" s="63"/>
      <c r="C22" s="63"/>
      <c r="D22" s="63"/>
      <c r="E22" s="63"/>
      <c r="F22" s="63"/>
      <c r="G22" s="63"/>
      <c r="H22" s="63"/>
      <c r="I22" s="63"/>
      <c r="J22" s="63"/>
      <c r="K22" s="63"/>
    </row>
    <row r="23" spans="1:11" hidden="1" outlineLevel="1" x14ac:dyDescent="0.3">
      <c r="B23" s="63"/>
      <c r="C23" s="63"/>
      <c r="D23" s="63"/>
      <c r="E23" s="63"/>
      <c r="F23" s="63"/>
      <c r="G23" s="63"/>
      <c r="H23" s="63"/>
      <c r="I23" s="63"/>
      <c r="J23" s="63"/>
      <c r="K23" s="63"/>
    </row>
    <row r="24" spans="1:11" hidden="1" outlineLevel="1" x14ac:dyDescent="0.3">
      <c r="B24" s="63"/>
      <c r="C24" s="63"/>
      <c r="D24" s="63"/>
      <c r="E24" s="63"/>
      <c r="F24" s="63"/>
      <c r="G24" s="63"/>
      <c r="H24" s="63"/>
      <c r="I24" s="63"/>
      <c r="J24" s="63"/>
      <c r="K24" s="63"/>
    </row>
    <row r="25" spans="1:11" hidden="1" outlineLevel="1" x14ac:dyDescent="0.3">
      <c r="B25" s="63"/>
      <c r="C25" s="63"/>
      <c r="D25" s="63"/>
      <c r="E25" s="63"/>
      <c r="F25" s="63"/>
      <c r="G25" s="63"/>
      <c r="H25" s="63"/>
      <c r="I25" s="63"/>
      <c r="J25" s="63"/>
      <c r="K25" s="63"/>
    </row>
    <row r="26" spans="1:11" hidden="1" outlineLevel="1" x14ac:dyDescent="0.3"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11" collapsed="1" x14ac:dyDescent="0.3"/>
    <row r="28" spans="1:11" x14ac:dyDescent="0.3">
      <c r="A28" s="5">
        <v>2</v>
      </c>
      <c r="B28" s="5" t="s">
        <v>40</v>
      </c>
    </row>
    <row r="29" spans="1:11" x14ac:dyDescent="0.3">
      <c r="C29" s="9" t="s">
        <v>38</v>
      </c>
      <c r="D29" s="9"/>
    </row>
    <row r="30" spans="1:11" x14ac:dyDescent="0.3">
      <c r="B30" s="4" t="s">
        <v>39</v>
      </c>
      <c r="C30" s="10"/>
    </row>
    <row r="31" spans="1:11" hidden="1" outlineLevel="1" x14ac:dyDescent="0.3"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 hidden="1" outlineLevel="1" x14ac:dyDescent="0.3">
      <c r="B32" s="63"/>
      <c r="C32" s="63"/>
      <c r="D32" s="63"/>
      <c r="E32" s="63"/>
      <c r="F32" s="63"/>
      <c r="G32" s="63"/>
      <c r="H32" s="63"/>
      <c r="I32" s="63"/>
      <c r="J32" s="63"/>
      <c r="K32" s="63"/>
    </row>
    <row r="33" spans="1:11" hidden="1" outlineLevel="1" x14ac:dyDescent="0.3">
      <c r="B33" s="63"/>
      <c r="C33" s="63"/>
      <c r="D33" s="63"/>
      <c r="E33" s="63"/>
      <c r="F33" s="63"/>
      <c r="G33" s="63"/>
      <c r="H33" s="63"/>
      <c r="I33" s="63"/>
      <c r="J33" s="63"/>
      <c r="K33" s="63"/>
    </row>
    <row r="34" spans="1:11" hidden="1" outlineLevel="1" x14ac:dyDescent="0.3">
      <c r="B34" s="63"/>
      <c r="C34" s="63"/>
      <c r="D34" s="63"/>
      <c r="E34" s="63"/>
      <c r="F34" s="63"/>
      <c r="G34" s="63"/>
      <c r="H34" s="63"/>
      <c r="I34" s="63"/>
      <c r="J34" s="63"/>
      <c r="K34" s="63"/>
    </row>
    <row r="35" spans="1:11" hidden="1" outlineLevel="1" x14ac:dyDescent="0.3">
      <c r="B35" s="63"/>
      <c r="C35" s="63"/>
      <c r="D35" s="63"/>
      <c r="E35" s="63"/>
      <c r="F35" s="63"/>
      <c r="G35" s="63"/>
      <c r="H35" s="63"/>
      <c r="I35" s="63"/>
      <c r="J35" s="63"/>
      <c r="K35" s="63"/>
    </row>
    <row r="36" spans="1:11" hidden="1" outlineLevel="1" x14ac:dyDescent="0.3">
      <c r="B36" s="63"/>
      <c r="C36" s="63"/>
      <c r="D36" s="63"/>
      <c r="E36" s="63"/>
      <c r="F36" s="63"/>
      <c r="G36" s="63"/>
      <c r="H36" s="63"/>
      <c r="I36" s="63"/>
      <c r="J36" s="63"/>
      <c r="K36" s="63"/>
    </row>
    <row r="37" spans="1:11" hidden="1" outlineLevel="1" x14ac:dyDescent="0.3">
      <c r="B37" s="63"/>
      <c r="C37" s="63"/>
      <c r="D37" s="63"/>
      <c r="E37" s="63"/>
      <c r="F37" s="63"/>
      <c r="G37" s="63"/>
      <c r="H37" s="63"/>
      <c r="I37" s="63"/>
      <c r="J37" s="63"/>
      <c r="K37" s="63"/>
    </row>
    <row r="38" spans="1:11" collapsed="1" x14ac:dyDescent="0.3"/>
    <row r="39" spans="1:11" x14ac:dyDescent="0.3">
      <c r="A39" s="5">
        <v>2</v>
      </c>
      <c r="B39" s="5" t="s">
        <v>41</v>
      </c>
    </row>
    <row r="40" spans="1:11" x14ac:dyDescent="0.3">
      <c r="C40" s="9" t="s">
        <v>38</v>
      </c>
      <c r="D40" s="9"/>
    </row>
    <row r="41" spans="1:11" x14ac:dyDescent="0.3">
      <c r="B41" s="4" t="s">
        <v>39</v>
      </c>
      <c r="C41" s="10"/>
    </row>
    <row r="42" spans="1:11" ht="12.9" hidden="1" customHeight="1" outlineLevel="1" x14ac:dyDescent="0.3">
      <c r="B42" s="63"/>
      <c r="C42" s="63"/>
      <c r="D42" s="63"/>
      <c r="E42" s="63"/>
      <c r="F42" s="63"/>
      <c r="G42" s="63"/>
      <c r="H42" s="63"/>
      <c r="I42" s="63"/>
      <c r="J42" s="63"/>
      <c r="K42" s="63"/>
    </row>
    <row r="43" spans="1:11" hidden="1" outlineLevel="1" x14ac:dyDescent="0.3">
      <c r="B43" s="63"/>
      <c r="C43" s="63"/>
      <c r="D43" s="63"/>
      <c r="E43" s="63"/>
      <c r="F43" s="63"/>
      <c r="G43" s="63"/>
      <c r="H43" s="63"/>
      <c r="I43" s="63"/>
      <c r="J43" s="63"/>
      <c r="K43" s="63"/>
    </row>
    <row r="44" spans="1:11" hidden="1" outlineLevel="1" x14ac:dyDescent="0.3">
      <c r="B44" s="63"/>
      <c r="C44" s="63"/>
      <c r="D44" s="63"/>
      <c r="E44" s="63"/>
      <c r="F44" s="63"/>
      <c r="G44" s="63"/>
      <c r="H44" s="63"/>
      <c r="I44" s="63"/>
      <c r="J44" s="63"/>
      <c r="K44" s="63"/>
    </row>
    <row r="45" spans="1:11" hidden="1" outlineLevel="1" x14ac:dyDescent="0.3">
      <c r="B45" s="63"/>
      <c r="C45" s="63"/>
      <c r="D45" s="63"/>
      <c r="E45" s="63"/>
      <c r="F45" s="63"/>
      <c r="G45" s="63"/>
      <c r="H45" s="63"/>
      <c r="I45" s="63"/>
      <c r="J45" s="63"/>
      <c r="K45" s="63"/>
    </row>
    <row r="46" spans="1:11" hidden="1" outlineLevel="1" x14ac:dyDescent="0.3">
      <c r="B46" s="63"/>
      <c r="C46" s="63"/>
      <c r="D46" s="63"/>
      <c r="E46" s="63"/>
      <c r="F46" s="63"/>
      <c r="G46" s="63"/>
      <c r="H46" s="63"/>
      <c r="I46" s="63"/>
      <c r="J46" s="63"/>
      <c r="K46" s="63"/>
    </row>
    <row r="47" spans="1:11" hidden="1" outlineLevel="1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</row>
    <row r="48" spans="1:11" hidden="1" outlineLevel="1" x14ac:dyDescent="0.3">
      <c r="B48" s="63"/>
      <c r="C48" s="63"/>
      <c r="D48" s="63"/>
      <c r="E48" s="63"/>
      <c r="F48" s="63"/>
      <c r="G48" s="63"/>
      <c r="H48" s="63"/>
      <c r="I48" s="63"/>
      <c r="J48" s="63"/>
      <c r="K48" s="63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BF17-716D-44C8-B49F-9ECA881E4609}">
  <dimension ref="A1:H27"/>
  <sheetViews>
    <sheetView workbookViewId="0">
      <selection activeCell="C12" sqref="C12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42</v>
      </c>
    </row>
    <row r="2" spans="1:8" x14ac:dyDescent="0.3">
      <c r="A2" t="s">
        <v>43</v>
      </c>
    </row>
    <row r="4" spans="1:8" x14ac:dyDescent="0.3">
      <c r="G4" s="1" t="s">
        <v>44</v>
      </c>
    </row>
    <row r="6" spans="1:8" x14ac:dyDescent="0.3">
      <c r="G6" s="11" t="s">
        <v>45</v>
      </c>
      <c r="H6" s="11" t="s">
        <v>46</v>
      </c>
    </row>
    <row r="7" spans="1:8" x14ac:dyDescent="0.3">
      <c r="A7" s="1" t="s">
        <v>45</v>
      </c>
      <c r="B7" s="1" t="s">
        <v>46</v>
      </c>
      <c r="G7" s="12">
        <v>44197</v>
      </c>
      <c r="H7" s="13">
        <v>1.3671</v>
      </c>
    </row>
    <row r="8" spans="1:8" x14ac:dyDescent="0.3">
      <c r="A8" s="14">
        <v>44201</v>
      </c>
      <c r="B8" s="2"/>
      <c r="G8" s="12">
        <v>44200</v>
      </c>
      <c r="H8" s="13">
        <v>1.3569</v>
      </c>
    </row>
    <row r="9" spans="1:8" x14ac:dyDescent="0.3">
      <c r="A9" s="14">
        <v>44211</v>
      </c>
      <c r="B9" s="2"/>
      <c r="G9" s="12">
        <v>44201</v>
      </c>
      <c r="H9" s="13">
        <v>1.3624000000000001</v>
      </c>
    </row>
    <row r="10" spans="1:8" x14ac:dyDescent="0.3">
      <c r="A10" s="14">
        <v>44220</v>
      </c>
      <c r="B10" s="2"/>
      <c r="G10" s="12">
        <v>44202</v>
      </c>
      <c r="H10" s="13">
        <v>1.3607</v>
      </c>
    </row>
    <row r="11" spans="1:8" x14ac:dyDescent="0.3">
      <c r="G11" s="12">
        <v>44203</v>
      </c>
      <c r="H11" s="13">
        <v>1.3563000000000001</v>
      </c>
    </row>
    <row r="12" spans="1:8" x14ac:dyDescent="0.3">
      <c r="G12" s="12">
        <v>44204</v>
      </c>
      <c r="H12" s="13">
        <v>1.3563000000000001</v>
      </c>
    </row>
    <row r="13" spans="1:8" x14ac:dyDescent="0.3">
      <c r="G13" s="12">
        <v>44207</v>
      </c>
      <c r="H13" s="13">
        <v>1.3513999999999999</v>
      </c>
    </row>
    <row r="14" spans="1:8" x14ac:dyDescent="0.3">
      <c r="G14" s="12">
        <v>44208</v>
      </c>
      <c r="H14" s="13">
        <v>1.3663000000000001</v>
      </c>
    </row>
    <row r="15" spans="1:8" x14ac:dyDescent="0.3">
      <c r="G15" s="12">
        <v>44209</v>
      </c>
      <c r="H15" s="13">
        <v>1.3636999999999999</v>
      </c>
    </row>
    <row r="16" spans="1:8" x14ac:dyDescent="0.3">
      <c r="G16" s="12">
        <v>44210</v>
      </c>
      <c r="H16" s="13">
        <v>1.3687</v>
      </c>
    </row>
    <row r="17" spans="7:8" x14ac:dyDescent="0.3">
      <c r="G17" s="12">
        <v>44211</v>
      </c>
      <c r="H17" s="13">
        <v>1.3586</v>
      </c>
    </row>
    <row r="18" spans="7:8" x14ac:dyDescent="0.3">
      <c r="G18" s="12">
        <v>44214</v>
      </c>
      <c r="H18" s="13">
        <v>1.3584000000000001</v>
      </c>
    </row>
    <row r="19" spans="7:8" x14ac:dyDescent="0.3">
      <c r="G19" s="12">
        <v>44215</v>
      </c>
      <c r="H19" s="13">
        <v>1.3628</v>
      </c>
    </row>
    <row r="20" spans="7:8" x14ac:dyDescent="0.3">
      <c r="G20" s="12">
        <v>44216</v>
      </c>
      <c r="H20" s="13">
        <v>1.3653</v>
      </c>
    </row>
    <row r="21" spans="7:8" x14ac:dyDescent="0.3">
      <c r="G21" s="12">
        <v>44217</v>
      </c>
      <c r="H21" s="13">
        <v>1.3732</v>
      </c>
    </row>
    <row r="22" spans="7:8" x14ac:dyDescent="0.3">
      <c r="G22" s="12">
        <v>44218</v>
      </c>
      <c r="H22" s="13">
        <v>1.3684000000000001</v>
      </c>
    </row>
    <row r="23" spans="7:8" x14ac:dyDescent="0.3">
      <c r="G23" s="12">
        <v>44221</v>
      </c>
      <c r="H23" s="13">
        <v>1.3673999999999999</v>
      </c>
    </row>
    <row r="24" spans="7:8" x14ac:dyDescent="0.3">
      <c r="G24" s="12">
        <v>44222</v>
      </c>
      <c r="H24" s="13">
        <v>1.3733</v>
      </c>
    </row>
    <row r="25" spans="7:8" x14ac:dyDescent="0.3">
      <c r="G25" s="12">
        <v>44223</v>
      </c>
      <c r="H25" s="13">
        <v>1.3686</v>
      </c>
    </row>
    <row r="26" spans="7:8" x14ac:dyDescent="0.3">
      <c r="G26" s="12">
        <v>44224</v>
      </c>
      <c r="H26" s="13">
        <v>1.3717999999999999</v>
      </c>
    </row>
    <row r="27" spans="7:8" x14ac:dyDescent="0.3">
      <c r="G27" s="12">
        <v>44225</v>
      </c>
      <c r="H27" s="13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DC00-8F18-44AA-9919-A1F33A8CFFBD}">
  <dimension ref="A1:J21"/>
  <sheetViews>
    <sheetView workbookViewId="0">
      <selection sqref="A1:O23"/>
    </sheetView>
  </sheetViews>
  <sheetFormatPr defaultRowHeight="14.4" x14ac:dyDescent="0.3"/>
  <sheetData>
    <row r="1" spans="1:10" x14ac:dyDescent="0.3">
      <c r="A1" s="15" t="s">
        <v>89</v>
      </c>
      <c r="B1" s="15" t="s">
        <v>1</v>
      </c>
      <c r="C1" s="15" t="s">
        <v>88</v>
      </c>
      <c r="D1" s="15" t="s">
        <v>87</v>
      </c>
      <c r="E1" s="15" t="s">
        <v>86</v>
      </c>
      <c r="F1" s="15" t="s">
        <v>85</v>
      </c>
      <c r="I1" s="15" t="s">
        <v>84</v>
      </c>
      <c r="J1" s="15" t="s">
        <v>83</v>
      </c>
    </row>
    <row r="2" spans="1:10" x14ac:dyDescent="0.3">
      <c r="A2">
        <v>101</v>
      </c>
      <c r="B2" t="s">
        <v>82</v>
      </c>
      <c r="C2" t="s">
        <v>63</v>
      </c>
      <c r="D2" t="s">
        <v>58</v>
      </c>
      <c r="E2">
        <v>65000</v>
      </c>
      <c r="F2">
        <v>0.1</v>
      </c>
      <c r="I2" t="s">
        <v>81</v>
      </c>
      <c r="J2" t="str">
        <f>VLOOKUP(104,A1:F11,2)</f>
        <v>David Chen</v>
      </c>
    </row>
    <row r="3" spans="1:10" x14ac:dyDescent="0.3">
      <c r="A3">
        <v>102</v>
      </c>
      <c r="B3" t="s">
        <v>80</v>
      </c>
      <c r="C3" t="s">
        <v>24</v>
      </c>
      <c r="D3" t="s">
        <v>66</v>
      </c>
      <c r="E3">
        <v>72000</v>
      </c>
      <c r="F3">
        <v>0.12</v>
      </c>
      <c r="I3" t="s">
        <v>79</v>
      </c>
    </row>
    <row r="4" spans="1:10" x14ac:dyDescent="0.3">
      <c r="A4">
        <v>103</v>
      </c>
      <c r="B4" t="s">
        <v>78</v>
      </c>
      <c r="C4" t="s">
        <v>59</v>
      </c>
      <c r="D4" t="s">
        <v>69</v>
      </c>
      <c r="E4">
        <v>80000</v>
      </c>
      <c r="F4">
        <v>0.08</v>
      </c>
      <c r="I4" t="s">
        <v>77</v>
      </c>
    </row>
    <row r="5" spans="1:10" x14ac:dyDescent="0.3">
      <c r="A5">
        <v>104</v>
      </c>
      <c r="B5" t="s">
        <v>76</v>
      </c>
      <c r="C5" t="s">
        <v>22</v>
      </c>
      <c r="D5" t="s">
        <v>58</v>
      </c>
      <c r="E5">
        <v>58000</v>
      </c>
      <c r="F5">
        <v>0.09</v>
      </c>
      <c r="I5" t="s">
        <v>75</v>
      </c>
    </row>
    <row r="6" spans="1:10" x14ac:dyDescent="0.3">
      <c r="A6">
        <v>105</v>
      </c>
      <c r="B6" t="s">
        <v>74</v>
      </c>
      <c r="C6" t="s">
        <v>63</v>
      </c>
      <c r="D6" t="s">
        <v>66</v>
      </c>
      <c r="E6">
        <v>62000</v>
      </c>
      <c r="F6">
        <v>0.11</v>
      </c>
      <c r="I6" t="s">
        <v>73</v>
      </c>
    </row>
    <row r="7" spans="1:10" x14ac:dyDescent="0.3">
      <c r="A7">
        <v>106</v>
      </c>
      <c r="B7" t="s">
        <v>72</v>
      </c>
      <c r="C7" t="s">
        <v>24</v>
      </c>
      <c r="D7" t="s">
        <v>62</v>
      </c>
      <c r="E7">
        <v>76000</v>
      </c>
      <c r="F7">
        <v>0.1</v>
      </c>
      <c r="I7" t="s">
        <v>71</v>
      </c>
    </row>
    <row r="8" spans="1:10" x14ac:dyDescent="0.3">
      <c r="A8">
        <v>107</v>
      </c>
      <c r="B8" t="s">
        <v>70</v>
      </c>
      <c r="C8" t="s">
        <v>59</v>
      </c>
      <c r="D8" t="s">
        <v>69</v>
      </c>
      <c r="E8">
        <v>82000</v>
      </c>
      <c r="F8">
        <v>7.0000000000000007E-2</v>
      </c>
      <c r="I8" t="s">
        <v>68</v>
      </c>
    </row>
    <row r="9" spans="1:10" x14ac:dyDescent="0.3">
      <c r="A9">
        <v>108</v>
      </c>
      <c r="B9" t="s">
        <v>67</v>
      </c>
      <c r="C9" t="s">
        <v>22</v>
      </c>
      <c r="D9" t="s">
        <v>66</v>
      </c>
      <c r="E9">
        <v>55000</v>
      </c>
      <c r="F9">
        <v>0.09</v>
      </c>
      <c r="I9" t="s">
        <v>65</v>
      </c>
    </row>
    <row r="10" spans="1:10" x14ac:dyDescent="0.3">
      <c r="A10">
        <v>109</v>
      </c>
      <c r="B10" t="s">
        <v>64</v>
      </c>
      <c r="C10" t="s">
        <v>63</v>
      </c>
      <c r="D10" t="s">
        <v>62</v>
      </c>
      <c r="E10">
        <v>68000</v>
      </c>
      <c r="F10">
        <v>0.1</v>
      </c>
      <c r="I10" t="s">
        <v>61</v>
      </c>
    </row>
    <row r="11" spans="1:10" x14ac:dyDescent="0.3">
      <c r="A11">
        <v>110</v>
      </c>
      <c r="B11" t="s">
        <v>60</v>
      </c>
      <c r="C11" t="s">
        <v>59</v>
      </c>
      <c r="D11" t="s">
        <v>58</v>
      </c>
      <c r="E11">
        <v>85000</v>
      </c>
      <c r="F11">
        <v>0.12</v>
      </c>
      <c r="I11" t="s">
        <v>57</v>
      </c>
    </row>
    <row r="12" spans="1:10" x14ac:dyDescent="0.3">
      <c r="I12" t="s">
        <v>56</v>
      </c>
    </row>
    <row r="13" spans="1:10" x14ac:dyDescent="0.3">
      <c r="I13" t="s">
        <v>55</v>
      </c>
    </row>
    <row r="14" spans="1:10" x14ac:dyDescent="0.3">
      <c r="I14" t="s">
        <v>54</v>
      </c>
    </row>
    <row r="15" spans="1:10" x14ac:dyDescent="0.3">
      <c r="I15" t="s">
        <v>53</v>
      </c>
    </row>
    <row r="16" spans="1:10" x14ac:dyDescent="0.3">
      <c r="I16" t="s">
        <v>52</v>
      </c>
    </row>
    <row r="17" spans="9:9" x14ac:dyDescent="0.3">
      <c r="I17" t="s">
        <v>51</v>
      </c>
    </row>
    <row r="18" spans="9:9" x14ac:dyDescent="0.3">
      <c r="I18" t="s">
        <v>50</v>
      </c>
    </row>
    <row r="19" spans="9:9" x14ac:dyDescent="0.3">
      <c r="I19" t="s">
        <v>49</v>
      </c>
    </row>
    <row r="20" spans="9:9" x14ac:dyDescent="0.3">
      <c r="I20" t="s">
        <v>48</v>
      </c>
    </row>
    <row r="21" spans="9:9" x14ac:dyDescent="0.3">
      <c r="I21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3DDB-D25F-46A3-BF9A-645F2630A323}">
  <sheetPr codeName="Sheet8"/>
  <dimension ref="B1:L12"/>
  <sheetViews>
    <sheetView workbookViewId="0"/>
  </sheetViews>
  <sheetFormatPr defaultColWidth="9.109375" defaultRowHeight="11.4" x14ac:dyDescent="0.2"/>
  <cols>
    <col min="1" max="1" width="2" style="52" customWidth="1"/>
    <col min="2" max="2" width="15.88671875" style="52" bestFit="1" customWidth="1"/>
    <col min="3" max="3" width="8.109375" style="52" bestFit="1" customWidth="1"/>
    <col min="4" max="4" width="16.109375" style="52" bestFit="1" customWidth="1"/>
    <col min="5" max="5" width="12.44140625" style="52" bestFit="1" customWidth="1"/>
    <col min="6" max="6" width="12.33203125" style="52" bestFit="1" customWidth="1"/>
    <col min="7" max="7" width="9.109375" style="52"/>
    <col min="8" max="8" width="11" style="52" customWidth="1"/>
    <col min="9" max="9" width="8.109375" style="52" bestFit="1" customWidth="1"/>
    <col min="10" max="10" width="10.5546875" style="52" customWidth="1"/>
    <col min="11" max="11" width="12.44140625" style="52" bestFit="1" customWidth="1"/>
    <col min="12" max="12" width="12.33203125" style="52" bestFit="1" customWidth="1"/>
    <col min="13" max="16384" width="9.109375" style="52"/>
  </cols>
  <sheetData>
    <row r="1" spans="2:12" ht="15.6" x14ac:dyDescent="0.3">
      <c r="B1" s="51" t="s">
        <v>145</v>
      </c>
    </row>
    <row r="3" spans="2:12" ht="24.6" thickBot="1" x14ac:dyDescent="0.3">
      <c r="B3" s="53" t="s">
        <v>146</v>
      </c>
      <c r="C3" s="53" t="s">
        <v>147</v>
      </c>
      <c r="D3" s="53" t="s">
        <v>148</v>
      </c>
      <c r="E3" s="53" t="s">
        <v>149</v>
      </c>
      <c r="F3" s="53" t="s">
        <v>150</v>
      </c>
      <c r="H3" s="53" t="s">
        <v>146</v>
      </c>
      <c r="I3" s="53" t="s">
        <v>147</v>
      </c>
      <c r="J3" s="54" t="s">
        <v>151</v>
      </c>
      <c r="K3" s="53" t="s">
        <v>149</v>
      </c>
      <c r="L3" s="53" t="s">
        <v>150</v>
      </c>
    </row>
    <row r="4" spans="2:12" x14ac:dyDescent="0.2">
      <c r="B4" s="52" t="s">
        <v>152</v>
      </c>
      <c r="C4" s="52" t="s">
        <v>153</v>
      </c>
      <c r="D4" s="52" t="s">
        <v>154</v>
      </c>
      <c r="E4" s="55">
        <v>34</v>
      </c>
      <c r="F4" s="55">
        <v>71</v>
      </c>
      <c r="H4" s="52" t="s">
        <v>155</v>
      </c>
    </row>
    <row r="5" spans="2:12" x14ac:dyDescent="0.2">
      <c r="B5" s="52" t="s">
        <v>156</v>
      </c>
      <c r="C5" s="52" t="s">
        <v>157</v>
      </c>
      <c r="D5" s="52" t="s">
        <v>154</v>
      </c>
      <c r="E5" s="55">
        <v>38</v>
      </c>
      <c r="F5" s="55">
        <v>57</v>
      </c>
      <c r="H5" s="52" t="s">
        <v>152</v>
      </c>
    </row>
    <row r="6" spans="2:12" x14ac:dyDescent="0.2">
      <c r="B6" s="52" t="s">
        <v>158</v>
      </c>
      <c r="C6" s="52" t="s">
        <v>159</v>
      </c>
      <c r="D6" s="52" t="s">
        <v>154</v>
      </c>
      <c r="E6" s="55">
        <v>38</v>
      </c>
      <c r="F6" s="55">
        <v>64</v>
      </c>
    </row>
    <row r="7" spans="2:12" x14ac:dyDescent="0.2">
      <c r="B7" s="52" t="s">
        <v>160</v>
      </c>
      <c r="C7" s="52" t="s">
        <v>153</v>
      </c>
      <c r="D7" s="52" t="s">
        <v>161</v>
      </c>
      <c r="E7" s="55">
        <v>34</v>
      </c>
      <c r="F7" s="55">
        <v>27</v>
      </c>
    </row>
    <row r="8" spans="2:12" x14ac:dyDescent="0.2">
      <c r="B8" s="52" t="s">
        <v>155</v>
      </c>
      <c r="C8" s="52" t="s">
        <v>157</v>
      </c>
      <c r="D8" s="52" t="s">
        <v>161</v>
      </c>
      <c r="E8" s="55">
        <v>38</v>
      </c>
      <c r="F8" s="55">
        <v>56</v>
      </c>
    </row>
    <row r="9" spans="2:12" x14ac:dyDescent="0.2">
      <c r="B9" s="52" t="s">
        <v>162</v>
      </c>
      <c r="C9" s="52" t="s">
        <v>157</v>
      </c>
      <c r="D9" s="52" t="s">
        <v>161</v>
      </c>
      <c r="E9" s="55">
        <v>38</v>
      </c>
      <c r="F9" s="55">
        <v>65</v>
      </c>
    </row>
    <row r="10" spans="2:12" x14ac:dyDescent="0.2">
      <c r="B10" s="52" t="s">
        <v>163</v>
      </c>
      <c r="C10" s="52" t="s">
        <v>153</v>
      </c>
      <c r="D10" s="52" t="s">
        <v>154</v>
      </c>
      <c r="E10" s="55">
        <v>34</v>
      </c>
      <c r="F10" s="55">
        <v>90</v>
      </c>
    </row>
    <row r="11" spans="2:12" x14ac:dyDescent="0.2">
      <c r="B11" s="52" t="s">
        <v>164</v>
      </c>
      <c r="C11" s="52" t="s">
        <v>159</v>
      </c>
      <c r="D11" s="52" t="s">
        <v>161</v>
      </c>
      <c r="E11" s="55">
        <v>38</v>
      </c>
      <c r="F11" s="55">
        <v>84</v>
      </c>
    </row>
    <row r="12" spans="2:12" x14ac:dyDescent="0.2">
      <c r="B12" s="52" t="s">
        <v>165</v>
      </c>
      <c r="C12" s="52" t="s">
        <v>159</v>
      </c>
      <c r="D12" s="52" t="s">
        <v>154</v>
      </c>
      <c r="E12" s="55">
        <v>38</v>
      </c>
      <c r="F12" s="55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C13C-8C50-4528-A8D1-BE94D80FBD4D}">
  <dimension ref="A1:L41"/>
  <sheetViews>
    <sheetView showGridLines="0" workbookViewId="0">
      <selection activeCell="C46" sqref="C46"/>
    </sheetView>
  </sheetViews>
  <sheetFormatPr defaultColWidth="8.6640625" defaultRowHeight="14.4" outlineLevelRow="1" x14ac:dyDescent="0.3"/>
  <cols>
    <col min="1" max="1" width="2.5546875" style="34" customWidth="1"/>
    <col min="2" max="2" width="18.109375" style="30" customWidth="1"/>
    <col min="3" max="3" width="9.5546875" style="30" customWidth="1"/>
    <col min="4" max="4" width="9.6640625" style="30" bestFit="1" customWidth="1"/>
    <col min="5" max="5" width="11.44140625" style="30" bestFit="1" customWidth="1"/>
    <col min="6" max="6" width="8.88671875" style="30" bestFit="1" customWidth="1"/>
    <col min="7" max="7" width="9.44140625" style="30" bestFit="1" customWidth="1"/>
    <col min="8" max="8" width="11.109375" style="30" bestFit="1" customWidth="1"/>
    <col min="9" max="9" width="13.5546875" style="30" bestFit="1" customWidth="1"/>
    <col min="10" max="10" width="11.33203125" style="30" bestFit="1" customWidth="1"/>
    <col min="11" max="11" width="11.5546875" style="30" bestFit="1" customWidth="1"/>
    <col min="12" max="12" width="11.88671875" style="30" bestFit="1" customWidth="1"/>
    <col min="13" max="16384" width="8.6640625" style="30"/>
  </cols>
  <sheetData>
    <row r="1" spans="1:12" x14ac:dyDescent="0.3">
      <c r="A1" s="30"/>
    </row>
    <row r="2" spans="1:12" x14ac:dyDescent="0.3">
      <c r="A2" s="30"/>
      <c r="B2" s="31" t="s">
        <v>117</v>
      </c>
    </row>
    <row r="3" spans="1:12" x14ac:dyDescent="0.3">
      <c r="A3" s="30"/>
      <c r="B3" s="32" t="s">
        <v>94</v>
      </c>
      <c r="C3" s="32">
        <v>101</v>
      </c>
      <c r="D3" s="32">
        <v>102</v>
      </c>
      <c r="E3" s="32">
        <v>103</v>
      </c>
      <c r="F3" s="32">
        <v>104</v>
      </c>
      <c r="G3" s="32">
        <v>105</v>
      </c>
      <c r="H3" s="32">
        <v>106</v>
      </c>
      <c r="I3" s="32">
        <v>107</v>
      </c>
      <c r="J3" s="32">
        <v>108</v>
      </c>
      <c r="K3" s="32">
        <v>109</v>
      </c>
      <c r="L3" s="32">
        <v>110</v>
      </c>
    </row>
    <row r="4" spans="1:12" x14ac:dyDescent="0.3">
      <c r="A4" s="30"/>
      <c r="B4" s="32" t="s">
        <v>118</v>
      </c>
      <c r="C4" s="33" t="s">
        <v>119</v>
      </c>
      <c r="D4" s="33" t="s">
        <v>120</v>
      </c>
      <c r="E4" s="33" t="s">
        <v>19</v>
      </c>
      <c r="F4" s="33" t="s">
        <v>121</v>
      </c>
      <c r="G4" s="33" t="s">
        <v>122</v>
      </c>
      <c r="H4" s="33" t="s">
        <v>123</v>
      </c>
      <c r="I4" s="33" t="s">
        <v>124</v>
      </c>
      <c r="J4" s="33" t="s">
        <v>125</v>
      </c>
      <c r="K4" s="33" t="s">
        <v>126</v>
      </c>
      <c r="L4" s="33" t="s">
        <v>127</v>
      </c>
    </row>
    <row r="5" spans="1:12" x14ac:dyDescent="0.3">
      <c r="A5" s="30"/>
      <c r="B5" s="32" t="s">
        <v>88</v>
      </c>
      <c r="C5" s="33" t="s">
        <v>22</v>
      </c>
      <c r="D5" s="33" t="s">
        <v>24</v>
      </c>
      <c r="E5" s="33" t="s">
        <v>59</v>
      </c>
      <c r="F5" s="33" t="s">
        <v>63</v>
      </c>
      <c r="G5" s="33" t="s">
        <v>22</v>
      </c>
      <c r="H5" s="33" t="s">
        <v>24</v>
      </c>
      <c r="I5" s="33" t="s">
        <v>59</v>
      </c>
      <c r="J5" s="33" t="s">
        <v>63</v>
      </c>
      <c r="K5" s="33" t="s">
        <v>22</v>
      </c>
      <c r="L5" s="33" t="s">
        <v>24</v>
      </c>
    </row>
    <row r="6" spans="1:12" x14ac:dyDescent="0.3">
      <c r="A6" s="30"/>
      <c r="B6" s="32" t="s">
        <v>86</v>
      </c>
      <c r="C6" s="33">
        <v>50000</v>
      </c>
      <c r="D6" s="33">
        <v>55000</v>
      </c>
      <c r="E6" s="33">
        <v>60000</v>
      </c>
      <c r="F6" s="33">
        <v>65000</v>
      </c>
      <c r="G6" s="33">
        <v>70000</v>
      </c>
      <c r="H6" s="33">
        <v>75000</v>
      </c>
      <c r="I6" s="33">
        <v>80000</v>
      </c>
      <c r="J6" s="33">
        <v>85000</v>
      </c>
      <c r="K6" s="33">
        <v>90000</v>
      </c>
      <c r="L6" s="33">
        <v>95000</v>
      </c>
    </row>
    <row r="7" spans="1:12" x14ac:dyDescent="0.3">
      <c r="A7" s="30"/>
      <c r="B7" s="32" t="s">
        <v>128</v>
      </c>
      <c r="C7" s="33">
        <v>2000</v>
      </c>
      <c r="D7" s="33">
        <v>2500</v>
      </c>
      <c r="E7" s="33">
        <v>3000</v>
      </c>
      <c r="F7" s="33">
        <v>3500</v>
      </c>
      <c r="G7" s="33">
        <v>4000</v>
      </c>
      <c r="H7" s="33">
        <v>4500</v>
      </c>
      <c r="I7" s="33">
        <v>5000</v>
      </c>
      <c r="J7" s="33">
        <v>5500</v>
      </c>
      <c r="K7" s="33">
        <v>6000</v>
      </c>
      <c r="L7" s="33">
        <v>6500</v>
      </c>
    </row>
    <row r="8" spans="1:12" x14ac:dyDescent="0.3">
      <c r="A8" s="30"/>
      <c r="B8" s="32" t="s">
        <v>129</v>
      </c>
      <c r="C8" s="33">
        <v>52000</v>
      </c>
      <c r="D8" s="33">
        <v>57500</v>
      </c>
      <c r="E8" s="33">
        <v>63000</v>
      </c>
      <c r="F8" s="33">
        <v>685000</v>
      </c>
      <c r="G8" s="33">
        <v>74000</v>
      </c>
      <c r="H8" s="33">
        <v>79500</v>
      </c>
      <c r="I8" s="33">
        <v>85000</v>
      </c>
      <c r="J8" s="33">
        <v>90500</v>
      </c>
      <c r="K8" s="33">
        <v>96000</v>
      </c>
      <c r="L8" s="33">
        <v>101500</v>
      </c>
    </row>
    <row r="9" spans="1:12" x14ac:dyDescent="0.3">
      <c r="A9" s="30"/>
    </row>
    <row r="10" spans="1:12" x14ac:dyDescent="0.3">
      <c r="A10" s="34">
        <v>1</v>
      </c>
      <c r="B10" s="31" t="s">
        <v>130</v>
      </c>
    </row>
    <row r="11" spans="1:12" x14ac:dyDescent="0.3">
      <c r="C11" s="31"/>
      <c r="D11" s="31"/>
    </row>
    <row r="12" spans="1:12" x14ac:dyDescent="0.3">
      <c r="B12" s="30" t="s">
        <v>39</v>
      </c>
      <c r="C12" s="35"/>
    </row>
    <row r="13" spans="1:12" hidden="1" outlineLevel="1" x14ac:dyDescent="0.3">
      <c r="B13" s="31"/>
    </row>
    <row r="14" spans="1:12" hidden="1" outlineLevel="1" x14ac:dyDescent="0.3"/>
    <row r="15" spans="1:12" hidden="1" outlineLevel="1" x14ac:dyDescent="0.3">
      <c r="B15" s="36"/>
    </row>
    <row r="16" spans="1:12" hidden="1" outlineLevel="1" x14ac:dyDescent="0.3">
      <c r="B16" s="36"/>
    </row>
    <row r="17" spans="1:4" hidden="1" outlineLevel="1" x14ac:dyDescent="0.3">
      <c r="B17" s="36"/>
    </row>
    <row r="18" spans="1:4" hidden="1" outlineLevel="1" x14ac:dyDescent="0.3">
      <c r="B18" s="36"/>
    </row>
    <row r="19" spans="1:4" hidden="1" outlineLevel="1" x14ac:dyDescent="0.3">
      <c r="B19" s="36"/>
    </row>
    <row r="20" spans="1:4" collapsed="1" x14ac:dyDescent="0.3"/>
    <row r="21" spans="1:4" x14ac:dyDescent="0.3">
      <c r="A21" s="34">
        <v>2</v>
      </c>
      <c r="B21" s="31" t="s">
        <v>131</v>
      </c>
    </row>
    <row r="22" spans="1:4" x14ac:dyDescent="0.3">
      <c r="C22" s="31"/>
      <c r="D22" s="31"/>
    </row>
    <row r="23" spans="1:4" x14ac:dyDescent="0.3">
      <c r="B23" s="30" t="s">
        <v>39</v>
      </c>
      <c r="C23" s="35"/>
    </row>
    <row r="25" spans="1:4" hidden="1" outlineLevel="1" x14ac:dyDescent="0.3">
      <c r="B25" s="31"/>
    </row>
    <row r="26" spans="1:4" hidden="1" outlineLevel="1" x14ac:dyDescent="0.3"/>
    <row r="27" spans="1:4" hidden="1" outlineLevel="1" x14ac:dyDescent="0.3">
      <c r="B27" s="36"/>
    </row>
    <row r="28" spans="1:4" hidden="1" outlineLevel="1" x14ac:dyDescent="0.3">
      <c r="B28" s="36"/>
    </row>
    <row r="29" spans="1:4" hidden="1" outlineLevel="1" x14ac:dyDescent="0.3">
      <c r="B29" s="36"/>
    </row>
    <row r="30" spans="1:4" hidden="1" outlineLevel="1" x14ac:dyDescent="0.3">
      <c r="B30" s="36"/>
    </row>
    <row r="31" spans="1:4" collapsed="1" x14ac:dyDescent="0.3"/>
    <row r="32" spans="1:4" x14ac:dyDescent="0.3">
      <c r="A32" s="34">
        <v>3</v>
      </c>
      <c r="B32" s="31" t="s">
        <v>132</v>
      </c>
      <c r="C32" s="31"/>
      <c r="D32" s="31"/>
    </row>
    <row r="33" spans="2:3" x14ac:dyDescent="0.3">
      <c r="B33" s="34" t="s">
        <v>39</v>
      </c>
      <c r="C33" s="35"/>
    </row>
    <row r="35" spans="2:3" hidden="1" outlineLevel="1" x14ac:dyDescent="0.3">
      <c r="B35" s="31" t="s">
        <v>133</v>
      </c>
    </row>
    <row r="36" spans="2:3" hidden="1" outlineLevel="1" x14ac:dyDescent="0.3"/>
    <row r="37" spans="2:3" hidden="1" outlineLevel="1" x14ac:dyDescent="0.3">
      <c r="B37" s="36"/>
    </row>
    <row r="38" spans="2:3" hidden="1" outlineLevel="1" x14ac:dyDescent="0.3">
      <c r="B38" s="36"/>
    </row>
    <row r="39" spans="2:3" hidden="1" outlineLevel="1" x14ac:dyDescent="0.3">
      <c r="B39" s="36"/>
    </row>
    <row r="40" spans="2:3" hidden="1" outlineLevel="1" x14ac:dyDescent="0.3">
      <c r="B40" s="36"/>
    </row>
    <row r="41" spans="2:3" collapsed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C179-5450-4C40-934C-887BB68AAFAE}">
  <dimension ref="B2:J14"/>
  <sheetViews>
    <sheetView workbookViewId="0">
      <selection activeCell="C12" sqref="C12"/>
    </sheetView>
  </sheetViews>
  <sheetFormatPr defaultRowHeight="14.4" x14ac:dyDescent="0.3"/>
  <cols>
    <col min="2" max="2" width="16" customWidth="1"/>
    <col min="3" max="8" width="13.33203125" customWidth="1"/>
  </cols>
  <sheetData>
    <row r="2" spans="2:10" ht="23.4" x14ac:dyDescent="0.45">
      <c r="B2" s="37" t="s">
        <v>134</v>
      </c>
      <c r="C2" s="37"/>
      <c r="D2" s="37"/>
    </row>
    <row r="3" spans="2:10" ht="23.4" x14ac:dyDescent="0.45">
      <c r="B3" s="38"/>
      <c r="C3" s="38"/>
      <c r="D3" s="38"/>
    </row>
    <row r="5" spans="2:10" s="41" customFormat="1" ht="23.4" x14ac:dyDescent="0.45">
      <c r="B5" s="39" t="s">
        <v>1</v>
      </c>
      <c r="C5" s="39" t="s">
        <v>135</v>
      </c>
      <c r="D5" s="39" t="s">
        <v>136</v>
      </c>
      <c r="E5" s="39" t="s">
        <v>137</v>
      </c>
      <c r="F5" s="39" t="s">
        <v>138</v>
      </c>
      <c r="G5" s="39" t="s">
        <v>139</v>
      </c>
      <c r="H5" s="39" t="s">
        <v>140</v>
      </c>
      <c r="I5" s="40"/>
      <c r="J5" s="40"/>
    </row>
    <row r="6" spans="2:10" ht="23.4" x14ac:dyDescent="0.45">
      <c r="B6" s="42" t="s">
        <v>141</v>
      </c>
      <c r="C6" s="43">
        <v>5</v>
      </c>
      <c r="D6" s="43">
        <v>10</v>
      </c>
      <c r="E6" s="43">
        <v>1</v>
      </c>
      <c r="F6" s="43">
        <v>4</v>
      </c>
      <c r="G6" s="43">
        <v>10</v>
      </c>
      <c r="H6" s="43">
        <v>1</v>
      </c>
      <c r="I6" s="44"/>
      <c r="J6" s="44"/>
    </row>
    <row r="7" spans="2:10" ht="23.4" x14ac:dyDescent="0.45">
      <c r="B7" s="45" t="s">
        <v>142</v>
      </c>
      <c r="C7" s="46">
        <v>10</v>
      </c>
      <c r="D7" s="46">
        <v>3</v>
      </c>
      <c r="E7" s="46">
        <v>10</v>
      </c>
      <c r="F7" s="46">
        <v>2</v>
      </c>
      <c r="G7" s="46">
        <v>5</v>
      </c>
      <c r="H7" s="46">
        <v>1</v>
      </c>
      <c r="I7" s="44"/>
      <c r="J7" s="44"/>
    </row>
    <row r="8" spans="2:10" ht="23.4" x14ac:dyDescent="0.45">
      <c r="B8" s="45" t="s">
        <v>143</v>
      </c>
      <c r="C8" s="46">
        <v>6</v>
      </c>
      <c r="D8" s="46">
        <v>8</v>
      </c>
      <c r="E8" s="46">
        <v>7</v>
      </c>
      <c r="F8" s="46">
        <v>1</v>
      </c>
      <c r="G8" s="46">
        <v>10</v>
      </c>
      <c r="H8" s="46">
        <v>9</v>
      </c>
      <c r="I8" s="44"/>
      <c r="J8" s="44"/>
    </row>
    <row r="9" spans="2:10" ht="24" thickBot="1" x14ac:dyDescent="0.5">
      <c r="B9" s="47" t="s">
        <v>144</v>
      </c>
      <c r="C9" s="48">
        <v>4</v>
      </c>
      <c r="D9" s="48">
        <v>6</v>
      </c>
      <c r="E9" s="48">
        <v>3</v>
      </c>
      <c r="F9" s="48">
        <v>1</v>
      </c>
      <c r="G9" s="48">
        <v>9</v>
      </c>
      <c r="H9" s="48">
        <v>10</v>
      </c>
      <c r="I9" s="44"/>
      <c r="J9" s="44"/>
    </row>
    <row r="10" spans="2:10" ht="23.4" x14ac:dyDescent="0.45">
      <c r="I10" s="44"/>
      <c r="J10" s="44"/>
    </row>
    <row r="11" spans="2:10" ht="23.4" x14ac:dyDescent="0.45">
      <c r="B11" s="49"/>
      <c r="C11" s="49" t="s">
        <v>135</v>
      </c>
      <c r="D11" s="49" t="s">
        <v>136</v>
      </c>
      <c r="E11" s="49"/>
      <c r="I11" s="44"/>
      <c r="J11" s="44"/>
    </row>
    <row r="12" spans="2:10" ht="23.4" x14ac:dyDescent="0.45">
      <c r="B12" s="49" t="s">
        <v>144</v>
      </c>
      <c r="C12" s="49"/>
      <c r="D12" s="49"/>
      <c r="E12" s="49"/>
      <c r="I12" s="44"/>
      <c r="J12" s="44"/>
    </row>
    <row r="13" spans="2:10" ht="23.25" customHeight="1" x14ac:dyDescent="0.45">
      <c r="D13" s="50"/>
      <c r="E13" s="50"/>
      <c r="F13" s="50"/>
      <c r="G13" s="50"/>
      <c r="H13" s="50"/>
      <c r="I13" s="44"/>
      <c r="J13" s="44"/>
    </row>
    <row r="14" spans="2:10" ht="23.25" customHeight="1" x14ac:dyDescent="0.3"/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30B6-5195-4F8E-B9EF-36915EB7C846}">
  <sheetPr codeName="Sheet9"/>
  <dimension ref="B1:L7"/>
  <sheetViews>
    <sheetView workbookViewId="0"/>
  </sheetViews>
  <sheetFormatPr defaultColWidth="9.109375" defaultRowHeight="11.4" x14ac:dyDescent="0.2"/>
  <cols>
    <col min="1" max="1" width="2" style="52" customWidth="1"/>
    <col min="2" max="2" width="15.88671875" style="52" bestFit="1" customWidth="1"/>
    <col min="3" max="3" width="8.109375" style="52" bestFit="1" customWidth="1"/>
    <col min="4" max="4" width="5.109375" style="52" bestFit="1" customWidth="1"/>
    <col min="5" max="5" width="15.88671875" style="52" bestFit="1" customWidth="1"/>
    <col min="6" max="6" width="10" style="52" bestFit="1" customWidth="1"/>
    <col min="7" max="7" width="9.109375" style="52"/>
    <col min="8" max="8" width="10" style="52" bestFit="1" customWidth="1"/>
    <col min="9" max="9" width="9.109375" style="52"/>
    <col min="10" max="10" width="10.109375" style="52" bestFit="1" customWidth="1"/>
    <col min="11" max="11" width="12.44140625" style="52" bestFit="1" customWidth="1"/>
    <col min="12" max="12" width="12.33203125" style="52" bestFit="1" customWidth="1"/>
    <col min="13" max="16384" width="9.109375" style="52"/>
  </cols>
  <sheetData>
    <row r="1" spans="2:12" ht="15.6" x14ac:dyDescent="0.3">
      <c r="B1" s="51" t="s">
        <v>166</v>
      </c>
    </row>
    <row r="3" spans="2:12" ht="24.6" thickBot="1" x14ac:dyDescent="0.3">
      <c r="B3" s="56" t="s">
        <v>146</v>
      </c>
      <c r="C3" s="52" t="s">
        <v>152</v>
      </c>
      <c r="D3" s="52" t="s">
        <v>156</v>
      </c>
      <c r="E3" s="52" t="s">
        <v>158</v>
      </c>
      <c r="F3" s="52" t="s">
        <v>160</v>
      </c>
      <c r="H3" s="53" t="s">
        <v>146</v>
      </c>
      <c r="I3" s="53" t="s">
        <v>147</v>
      </c>
      <c r="J3" s="54" t="s">
        <v>151</v>
      </c>
      <c r="K3" s="57" t="s">
        <v>149</v>
      </c>
      <c r="L3" s="57" t="s">
        <v>150</v>
      </c>
    </row>
    <row r="4" spans="2:12" ht="12" x14ac:dyDescent="0.25">
      <c r="B4" s="56" t="s">
        <v>147</v>
      </c>
      <c r="C4" s="52" t="s">
        <v>153</v>
      </c>
      <c r="D4" s="52" t="s">
        <v>157</v>
      </c>
      <c r="E4" s="52" t="s">
        <v>159</v>
      </c>
      <c r="F4" s="52" t="s">
        <v>153</v>
      </c>
      <c r="H4" s="52" t="s">
        <v>156</v>
      </c>
      <c r="I4" s="58"/>
    </row>
    <row r="5" spans="2:12" ht="12" x14ac:dyDescent="0.25">
      <c r="B5" s="56" t="s">
        <v>148</v>
      </c>
      <c r="C5" s="52" t="s">
        <v>154</v>
      </c>
      <c r="D5" s="52" t="s">
        <v>154</v>
      </c>
      <c r="E5" s="52" t="s">
        <v>154</v>
      </c>
      <c r="F5" s="52" t="s">
        <v>161</v>
      </c>
      <c r="H5" s="52" t="s">
        <v>160</v>
      </c>
    </row>
    <row r="6" spans="2:12" ht="12" x14ac:dyDescent="0.25">
      <c r="B6" s="56" t="s">
        <v>149</v>
      </c>
      <c r="C6" s="59">
        <v>34</v>
      </c>
      <c r="D6" s="59">
        <v>38</v>
      </c>
      <c r="E6" s="59">
        <v>38</v>
      </c>
      <c r="F6" s="59">
        <v>34</v>
      </c>
    </row>
    <row r="7" spans="2:12" ht="12" x14ac:dyDescent="0.25">
      <c r="B7" s="56" t="s">
        <v>150</v>
      </c>
      <c r="C7" s="59">
        <v>71</v>
      </c>
      <c r="D7" s="59">
        <v>57</v>
      </c>
      <c r="E7" s="59">
        <v>64</v>
      </c>
      <c r="F7" s="59">
        <v>27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3F54-73F3-48DC-9212-32A64B80A294}">
  <dimension ref="A1:G19"/>
  <sheetViews>
    <sheetView tabSelected="1" workbookViewId="0">
      <selection activeCell="C10" sqref="C10"/>
    </sheetView>
  </sheetViews>
  <sheetFormatPr defaultRowHeight="14.4" x14ac:dyDescent="0.3"/>
  <cols>
    <col min="1" max="1" width="39.33203125" bestFit="1" customWidth="1"/>
    <col min="2" max="2" width="13.21875" bestFit="1" customWidth="1"/>
    <col min="3" max="3" width="9.88671875" bestFit="1" customWidth="1"/>
    <col min="4" max="4" width="6.77734375" bestFit="1" customWidth="1"/>
    <col min="5" max="5" width="5.21875" bestFit="1" customWidth="1"/>
  </cols>
  <sheetData>
    <row r="1" spans="1:7" x14ac:dyDescent="0.3">
      <c r="A1" s="1" t="s">
        <v>167</v>
      </c>
      <c r="B1" s="1" t="s">
        <v>168</v>
      </c>
      <c r="C1" s="1" t="s">
        <v>169</v>
      </c>
      <c r="D1" s="1" t="s">
        <v>170</v>
      </c>
      <c r="E1" s="1" t="s">
        <v>26</v>
      </c>
      <c r="F1" s="1"/>
      <c r="G1" s="1"/>
    </row>
    <row r="2" spans="1:7" x14ac:dyDescent="0.3">
      <c r="A2">
        <v>101</v>
      </c>
      <c r="B2" t="s">
        <v>171</v>
      </c>
      <c r="C2" t="s">
        <v>172</v>
      </c>
      <c r="D2" t="s">
        <v>173</v>
      </c>
      <c r="E2">
        <v>5000</v>
      </c>
    </row>
    <row r="3" spans="1:7" x14ac:dyDescent="0.3">
      <c r="A3">
        <v>102</v>
      </c>
      <c r="B3" t="s">
        <v>174</v>
      </c>
      <c r="C3" t="s">
        <v>172</v>
      </c>
      <c r="D3" t="s">
        <v>175</v>
      </c>
      <c r="E3">
        <v>3000</v>
      </c>
    </row>
    <row r="4" spans="1:7" x14ac:dyDescent="0.3">
      <c r="A4">
        <v>103</v>
      </c>
      <c r="B4" t="s">
        <v>176</v>
      </c>
      <c r="C4" t="s">
        <v>177</v>
      </c>
      <c r="D4" t="s">
        <v>178</v>
      </c>
      <c r="E4">
        <v>1500</v>
      </c>
    </row>
    <row r="5" spans="1:7" x14ac:dyDescent="0.3">
      <c r="A5">
        <v>104</v>
      </c>
      <c r="B5" t="s">
        <v>179</v>
      </c>
      <c r="C5" t="s">
        <v>177</v>
      </c>
      <c r="D5" t="s">
        <v>180</v>
      </c>
      <c r="E5">
        <v>2500</v>
      </c>
    </row>
    <row r="6" spans="1:7" x14ac:dyDescent="0.3">
      <c r="A6">
        <v>105</v>
      </c>
      <c r="B6" t="s">
        <v>181</v>
      </c>
      <c r="C6" t="s">
        <v>172</v>
      </c>
      <c r="D6" t="s">
        <v>173</v>
      </c>
      <c r="E6">
        <v>4000</v>
      </c>
    </row>
    <row r="8" spans="1:7" x14ac:dyDescent="0.3">
      <c r="A8" s="1" t="s">
        <v>182</v>
      </c>
      <c r="B8" s="1"/>
      <c r="C8" s="1"/>
      <c r="D8" s="1"/>
      <c r="E8" s="1"/>
      <c r="F8" s="1"/>
      <c r="G8" s="1"/>
    </row>
    <row r="9" spans="1:7" x14ac:dyDescent="0.3">
      <c r="A9" s="1" t="s">
        <v>84</v>
      </c>
      <c r="B9" s="1" t="s">
        <v>183</v>
      </c>
      <c r="C9" s="1" t="s">
        <v>184</v>
      </c>
      <c r="D9" s="1"/>
      <c r="E9" s="1"/>
      <c r="F9" s="1"/>
      <c r="G9" s="1"/>
    </row>
    <row r="10" spans="1:7" x14ac:dyDescent="0.3">
      <c r="A10" t="s">
        <v>185</v>
      </c>
    </row>
    <row r="11" spans="1:7" x14ac:dyDescent="0.3">
      <c r="A11" t="s">
        <v>186</v>
      </c>
    </row>
    <row r="12" spans="1:7" x14ac:dyDescent="0.3">
      <c r="A12" t="s">
        <v>187</v>
      </c>
    </row>
    <row r="13" spans="1:7" x14ac:dyDescent="0.3">
      <c r="A13" t="s">
        <v>188</v>
      </c>
    </row>
    <row r="14" spans="1:7" x14ac:dyDescent="0.3">
      <c r="A14" t="s">
        <v>189</v>
      </c>
    </row>
    <row r="15" spans="1:7" x14ac:dyDescent="0.3">
      <c r="A15" t="s">
        <v>190</v>
      </c>
    </row>
    <row r="16" spans="1:7" x14ac:dyDescent="0.3">
      <c r="A16" t="s">
        <v>191</v>
      </c>
    </row>
    <row r="17" spans="1:1" x14ac:dyDescent="0.3">
      <c r="A17" t="s">
        <v>192</v>
      </c>
    </row>
    <row r="18" spans="1:1" x14ac:dyDescent="0.3">
      <c r="A18" t="s">
        <v>193</v>
      </c>
    </row>
    <row r="19" spans="1:1" x14ac:dyDescent="0.3">
      <c r="A1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vlookup01</vt:lpstr>
      <vt:lpstr>vlookup02</vt:lpstr>
      <vt:lpstr>vlookup03</vt:lpstr>
      <vt:lpstr>vlookup04</vt:lpstr>
      <vt:lpstr>vlookup05</vt:lpstr>
      <vt:lpstr>vlookup06</vt:lpstr>
      <vt:lpstr>HLOOKUP 01</vt:lpstr>
      <vt:lpstr>hlookup02</vt:lpstr>
      <vt:lpstr>hlookup03</vt:lpstr>
      <vt:lpstr>Index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Padghane</dc:creator>
  <cp:lastModifiedBy>Vaibhav Padghane</cp:lastModifiedBy>
  <dcterms:created xsi:type="dcterms:W3CDTF">2015-06-05T18:17:20Z</dcterms:created>
  <dcterms:modified xsi:type="dcterms:W3CDTF">2026-02-05T18:12:17Z</dcterms:modified>
</cp:coreProperties>
</file>