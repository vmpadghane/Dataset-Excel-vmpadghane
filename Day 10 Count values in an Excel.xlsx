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8.xml" ContentType="application/vnd.openxmlformats-officedocument.drawing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F2E57CCA-70B2-47B7-BBB8-ED3FF61F6465}" xr6:coauthVersionLast="47" xr6:coauthVersionMax="47" xr10:uidLastSave="{00000000-0000-0000-0000-000000000000}"/>
  <bookViews>
    <workbookView xWindow="-108" yWindow="-108" windowWidth="23256" windowHeight="12456" tabRatio="792" xr2:uid="{00000000-000D-0000-FFFF-FFFF00000000}"/>
  </bookViews>
  <sheets>
    <sheet name="Count numbers with AutoSum" sheetId="2" r:id="rId1"/>
    <sheet name="Add subtotals" sheetId="14" r:id="rId2"/>
    <sheet name="SUBTOTAL function" sheetId="5" r:id="rId3"/>
    <sheet name="COUNT function" sheetId="13" r:id="rId4"/>
    <sheet name="COUNTIF function" sheetId="15" r:id="rId5"/>
    <sheet name="DCOUNT function" sheetId="16" r:id="rId6"/>
    <sheet name="COUNTIFS function" sheetId="17" r:id="rId7"/>
    <sheet name="Array COUNT with IF" sheetId="18" r:id="rId8"/>
    <sheet name="Array SUM with IF" sheetId="26" r:id="rId9"/>
    <sheet name="PivotTable" sheetId="19" r:id="rId10"/>
    <sheet name="COUNTA function" sheetId="20" r:id="rId11"/>
    <sheet name="DCOUNTA function" sheetId="21" r:id="rId12"/>
    <sheet name="COUNTBLANK function" sheetId="22" r:id="rId13"/>
    <sheet name="SUM, IF, MATCH, LEN &amp; FREQUENCY" sheetId="24" r:id="rId14"/>
    <sheet name="ROWS and COLUMNS functions" sheetId="23" r:id="rId15"/>
    <sheet name="SUM, IF, LEN, TRIM &amp; SUBSTITUTE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2" l="1"/>
  <c r="B15" i="21"/>
  <c r="B11" i="26" a="1"/>
  <c r="B11" i="26" s="1"/>
  <c r="C25" i="5"/>
  <c r="F18" i="5"/>
  <c r="F8" i="5"/>
  <c r="C13" i="5"/>
  <c r="F17" i="5"/>
  <c r="B15" i="24" l="1" a="1"/>
  <c r="B15" i="24" s="1"/>
  <c r="A13" i="12"/>
  <c r="C20" i="23"/>
  <c r="B17" i="20"/>
  <c r="B14" i="24"/>
  <c r="B11" i="22"/>
  <c r="B14" i="21"/>
  <c r="B16" i="20"/>
  <c r="A20" i="23"/>
  <c r="B21" i="18" l="1" a="1"/>
  <c r="B21" i="18" s="1"/>
  <c r="B17" i="18" a="1"/>
  <c r="B17" i="18" s="1"/>
  <c r="C20" i="17"/>
  <c r="B15" i="16"/>
  <c r="C13" i="15"/>
  <c r="C12" i="15"/>
  <c r="C15" i="15"/>
  <c r="C14" i="15"/>
  <c r="A20" i="17"/>
  <c r="A15" i="15"/>
  <c r="A13" i="15"/>
  <c r="A14" i="15"/>
  <c r="B14" i="16"/>
  <c r="B19" i="18"/>
  <c r="A12" i="15"/>
  <c r="B15" i="18"/>
  <c r="A11" i="12"/>
  <c r="A16" i="15"/>
  <c r="B15" i="13" l="1"/>
  <c r="F7" i="5"/>
  <c r="C9" i="2" l="1"/>
  <c r="B14" i="13"/>
</calcChain>
</file>

<file path=xl/sharedStrings.xml><?xml version="1.0" encoding="utf-8"?>
<sst xmlns="http://schemas.openxmlformats.org/spreadsheetml/2006/main" count="324" uniqueCount="122">
  <si>
    <t>Use the AutoSum Wizard</t>
  </si>
  <si>
    <t>Name</t>
  </si>
  <si>
    <t>Bob</t>
  </si>
  <si>
    <t>Sue</t>
  </si>
  <si>
    <t>Mo</t>
  </si>
  <si>
    <t>Rishna</t>
  </si>
  <si>
    <t>Hours worked (week 1)</t>
  </si>
  <si>
    <t>Hours worked (week 2)</t>
  </si>
  <si>
    <t>Total number of entries logged</t>
  </si>
  <si>
    <t>Sample Data</t>
  </si>
  <si>
    <t>Hello</t>
  </si>
  <si>
    <t>World</t>
  </si>
  <si>
    <t xml:space="preserve">9:00 a.m </t>
  </si>
  <si>
    <t>Output</t>
  </si>
  <si>
    <t>Formula</t>
  </si>
  <si>
    <t>Add subtotals</t>
  </si>
  <si>
    <t>Sport</t>
  </si>
  <si>
    <t>Quarter</t>
  </si>
  <si>
    <t>Sales</t>
  </si>
  <si>
    <t>Golf</t>
  </si>
  <si>
    <t>Qtr 3</t>
  </si>
  <si>
    <t>Qtr 4</t>
  </si>
  <si>
    <t>Tennis</t>
  </si>
  <si>
    <t>Example</t>
  </si>
  <si>
    <t>In the following example, you can add subtotal rows to the Golf and Tennis sales.</t>
  </si>
  <si>
    <t>Qtr 2</t>
  </si>
  <si>
    <t>Qtr 1</t>
  </si>
  <si>
    <t>Example 1</t>
  </si>
  <si>
    <t>Example 2</t>
  </si>
  <si>
    <t xml:space="preserve">Output </t>
  </si>
  <si>
    <t>Count cells in a list or table column using SUBTOTAL</t>
  </si>
  <si>
    <t>Count cells in a range using COUNT</t>
  </si>
  <si>
    <t>See more online: SUBTOTAL function</t>
  </si>
  <si>
    <t>See more online: COUNT function</t>
  </si>
  <si>
    <t>See online: Insert subtotals in a list of data in a worksheet</t>
  </si>
  <si>
    <t>See more online: SUM function</t>
  </si>
  <si>
    <t>Sample data</t>
  </si>
  <si>
    <t>Two roads diverged in a yellow wood,</t>
  </si>
  <si>
    <t>And sorry I could not travel both</t>
  </si>
  <si>
    <t>And be one traveler, long I stood</t>
  </si>
  <si>
    <t>And looked down one as far as I could</t>
  </si>
  <si>
    <t>To where it bent in the undergrowth;</t>
  </si>
  <si>
    <t>Use a nested formula to count words in a range</t>
  </si>
  <si>
    <t>Salesperson</t>
  </si>
  <si>
    <t>Invoice</t>
  </si>
  <si>
    <t>Buchanan</t>
  </si>
  <si>
    <t>Suyama</t>
  </si>
  <si>
    <t>Dodsworth</t>
  </si>
  <si>
    <t>When formula is</t>
  </si>
  <si>
    <t>Description</t>
  </si>
  <si>
    <t>Number of entries for Buchanan</t>
  </si>
  <si>
    <t>Number of invoice values less than 20,000</t>
  </si>
  <si>
    <t>Number of invoice values greater than or equal to 20,000</t>
  </si>
  <si>
    <t>Count cells in a range based on a single condition with COUNTIF</t>
  </si>
  <si>
    <t>Number of entries for Suyama</t>
  </si>
  <si>
    <t>Number of invoice values greater than 4000 and lesser than 15000</t>
  </si>
  <si>
    <t>See more online: COUNTIF function</t>
  </si>
  <si>
    <t>Count cells in a column based on single or multiple conditions with DCOUNT</t>
  </si>
  <si>
    <t>&gt;=3/31/2016</t>
  </si>
  <si>
    <t>&gt;400</t>
  </si>
  <si>
    <t>Month ending</t>
  </si>
  <si>
    <t>Sales in units</t>
  </si>
  <si>
    <t>5/31/206</t>
  </si>
  <si>
    <t>Employee ID</t>
  </si>
  <si>
    <t>Department</t>
  </si>
  <si>
    <t>Region No.</t>
  </si>
  <si>
    <t>Finance</t>
  </si>
  <si>
    <t>Operations</t>
  </si>
  <si>
    <t>IT</t>
  </si>
  <si>
    <t>Human Resources</t>
  </si>
  <si>
    <t>Count cells in a range based on multiple conditions with COUNTIFS</t>
  </si>
  <si>
    <t>Count based on criteria by using the COUNT and IF functions together</t>
  </si>
  <si>
    <t>Region</t>
  </si>
  <si>
    <t>Type</t>
  </si>
  <si>
    <t>South</t>
  </si>
  <si>
    <t>Beverages</t>
  </si>
  <si>
    <t>West</t>
  </si>
  <si>
    <t>Davolio</t>
  </si>
  <si>
    <t>Dairy</t>
  </si>
  <si>
    <t>East</t>
  </si>
  <si>
    <t>North</t>
  </si>
  <si>
    <t>Produce</t>
  </si>
  <si>
    <t>Meat</t>
  </si>
  <si>
    <t>Number of sales of meat in the South region.</t>
  </si>
  <si>
    <t>Number of sales greater than $1,000 by Suyama.</t>
  </si>
  <si>
    <t>Count how often multiple text or number values occur by using the SUM and IF functions together</t>
  </si>
  <si>
    <t>No. of invoices for Buchanan or Dodsworth</t>
  </si>
  <si>
    <t>See more online: DCOUNT function</t>
  </si>
  <si>
    <t>See more online: COUNTIFS function</t>
  </si>
  <si>
    <t>See more online: IF function- nested formulas and avoiding pitfalls</t>
  </si>
  <si>
    <t>See more online: Ways to count values in a spreadsheet</t>
  </si>
  <si>
    <t>Count nonblank cells in a range by using the COUNTA function</t>
  </si>
  <si>
    <t>Count nonblank cells in a list with specific conditions by using the DCOUNTA function</t>
  </si>
  <si>
    <t>Product ID</t>
  </si>
  <si>
    <t>Ratings</t>
  </si>
  <si>
    <t>&gt;=2000</t>
  </si>
  <si>
    <t>&gt;=50</t>
  </si>
  <si>
    <t>Ouput</t>
  </si>
  <si>
    <t>Location</t>
  </si>
  <si>
    <t>Location ID</t>
  </si>
  <si>
    <t>Highest-selling fruit</t>
  </si>
  <si>
    <t>Bellevue</t>
  </si>
  <si>
    <t>1102345AW</t>
  </si>
  <si>
    <t>Apples</t>
  </si>
  <si>
    <t>Redmond</t>
  </si>
  <si>
    <t>1102345AK</t>
  </si>
  <si>
    <t>Strawberries</t>
  </si>
  <si>
    <t>Kirkland</t>
  </si>
  <si>
    <t>1102345AP</t>
  </si>
  <si>
    <t>Oranges</t>
  </si>
  <si>
    <t>Count blank cells in a contiguous range by using the COUNTBLANK function</t>
  </si>
  <si>
    <t>Count the total number of cells in a range by using ROWS and COLUMNS functions</t>
  </si>
  <si>
    <t>Count the number of unique values in a range that meet one or more conditions by using IF, SUM, FREQUENCY, MATCH, and LEN functions</t>
  </si>
  <si>
    <t>Dataset 1</t>
  </si>
  <si>
    <t>Dataset 2</t>
  </si>
  <si>
    <t>Bradley</t>
  </si>
  <si>
    <t>Doyle</t>
  </si>
  <si>
    <t>See more online: COUNTA function</t>
  </si>
  <si>
    <t>See more online: DCOUNTA function</t>
  </si>
  <si>
    <t>See more online: COUNTBLANK function</t>
  </si>
  <si>
    <t>Total the data in an Excel table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</si>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</sst>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theme="1"/>
      <name val="Segoe UI Light"/>
      <family val="2"/>
    </font>
    <font>
      <sz val="18"/>
      <color rgb="FF227447"/>
      <name val="Calibri Light"/>
      <family val="2"/>
      <scheme val="major"/>
    </font>
    <font>
      <u/>
      <sz val="11"/>
      <color theme="10"/>
      <name val="Segoe UI Light"/>
      <family val="2"/>
    </font>
    <font>
      <sz val="11"/>
      <color rgb="FF3F3F76"/>
      <name val="Segoe UI Light"/>
      <family val="2"/>
    </font>
    <font>
      <b/>
      <sz val="11"/>
      <color rgb="FF227447"/>
      <name val="Segoe UI Light"/>
      <family val="2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0"/>
      <color theme="1"/>
      <name val="Segoe UI Light"/>
      <family val="2"/>
    </font>
    <font>
      <b/>
      <sz val="10.5"/>
      <color theme="1"/>
      <name val="Segoe UI Light"/>
      <family val="2"/>
    </font>
    <font>
      <sz val="10.5"/>
      <color theme="1"/>
      <name val="Segoe UI Light"/>
      <family val="2"/>
    </font>
    <font>
      <b/>
      <sz val="10"/>
      <color theme="1"/>
      <name val="Segoe UI Light"/>
      <family val="2"/>
    </font>
    <font>
      <b/>
      <sz val="11"/>
      <color rgb="FF3F3F76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227447"/>
        <bgColor theme="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double">
        <color theme="1"/>
      </top>
      <bottom style="medium">
        <color theme="1"/>
      </bottom>
      <diagonal/>
    </border>
  </borders>
  <cellStyleXfs count="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1" applyNumberFormat="0" applyAlignment="0" applyProtection="0"/>
  </cellStyleXfs>
  <cellXfs count="55">
    <xf numFmtId="0" fontId="0" fillId="0" borderId="0" xfId="0"/>
    <xf numFmtId="0" fontId="3" fillId="0" borderId="0" xfId="2"/>
    <xf numFmtId="0" fontId="2" fillId="0" borderId="0" xfId="0" applyFont="1"/>
    <xf numFmtId="0" fontId="4" fillId="0" borderId="0" xfId="3"/>
    <xf numFmtId="0" fontId="2" fillId="0" borderId="0" xfId="0" applyFont="1" applyAlignment="1">
      <alignment wrapText="1"/>
    </xf>
    <xf numFmtId="0" fontId="5" fillId="2" borderId="1" xfId="5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5" fillId="2" borderId="1" xfId="5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4" fillId="0" borderId="0" xfId="3" applyAlignment="1">
      <alignment wrapText="1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/>
    <xf numFmtId="0" fontId="1" fillId="3" borderId="3" xfId="0" applyFont="1" applyFill="1" applyBorder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0" fontId="7" fillId="0" borderId="0" xfId="0" applyFont="1" applyAlignment="1">
      <alignment horizontal="center" vertical="center"/>
    </xf>
    <xf numFmtId="0" fontId="13" fillId="2" borderId="1" xfId="5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</cellXfs>
  <cellStyles count="6">
    <cellStyle name="Heading 4 2" xfId="4" xr:uid="{00000000-0005-0000-0000-000000000000}"/>
    <cellStyle name="Hyperlink" xfId="3" builtinId="8"/>
    <cellStyle name="Input 2" xfId="5" xr:uid="{00000000-0005-0000-0000-000002000000}"/>
    <cellStyle name="Normal" xfId="0" builtinId="0"/>
    <cellStyle name="Normal 2" xfId="1" xr:uid="{00000000-0005-0000-0000-000004000000}"/>
    <cellStyle name="Title 2" xfId="2" xr:uid="{00000000-0005-0000-0000-000005000000}"/>
  </cellStyles>
  <dxfs count="88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 Light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6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Segoe UI Light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Segoe UI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Segoe UI Light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9"/>
          <bgColor rgb="FF227447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Excel UI" pivot="0" count="7" xr9:uid="{00000000-0011-0000-FFFF-FFFF00000000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firstColumnStripe" dxfId="81"/>
    </tableStyle>
  </tableStyles>
  <colors>
    <mruColors>
      <color rgb="FF227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2125980</xdr:colOff>
      <xdr:row>10</xdr:row>
      <xdr:rowOff>68580</xdr:rowOff>
    </xdr:from>
    <xdr:to>
      <xdr:col>4</xdr:col>
      <xdr:colOff>220980</xdr:colOff>
      <xdr:row>17</xdr:row>
      <xdr:rowOff>53340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B8B6D11B-B8EC-49AC-A859-40D72248D335}"/>
            </a:ext>
          </a:extLst>
        </xdr:cNvPr>
        <xdr:cNvSpPr/>
      </xdr:nvSpPr>
      <xdr:spPr>
        <a:xfrm>
          <a:off x="2125980" y="2651760"/>
          <a:ext cx="2651760" cy="1325880"/>
        </a:xfrm>
        <a:prstGeom prst="wedgeRectCallout">
          <a:avLst>
            <a:gd name="adj1" fmla="val -21799"/>
            <a:gd name="adj2" fmla="val -66051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cells from B5:B8, and then go to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Formulas</a:t>
          </a: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&gt;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AutoSum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&gt;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 Numbers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--OR--</a:t>
          </a: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B9 and press ALT + Enter.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 will display the total count of cells for the selected range in B9.</a:t>
          </a:r>
          <a:endParaRPr lang="en-US">
            <a:effectLst/>
          </a:endParaRPr>
        </a:p>
        <a:p>
          <a:b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pPr algn="l"/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5</xdr:row>
      <xdr:rowOff>175260</xdr:rowOff>
    </xdr:from>
    <xdr:to>
      <xdr:col>8</xdr:col>
      <xdr:colOff>320040</xdr:colOff>
      <xdr:row>11</xdr:row>
      <xdr:rowOff>38100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2D76CB4B-4F13-4DD6-8436-BD262C305ABE}"/>
            </a:ext>
          </a:extLst>
        </xdr:cNvPr>
        <xdr:cNvSpPr/>
      </xdr:nvSpPr>
      <xdr:spPr>
        <a:xfrm>
          <a:off x="1927860" y="1295400"/>
          <a:ext cx="3268980" cy="1143000"/>
        </a:xfrm>
        <a:prstGeom prst="wedgeRectCallout">
          <a:avLst>
            <a:gd name="adj1" fmla="val -55599"/>
            <a:gd name="adj2" fmla="val -21082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Click inside any cell in C5:C11 range, and then click </a:t>
          </a:r>
          <a:r>
            <a:rPr lang="en-US" sz="1100" b="1"/>
            <a:t>Data</a:t>
          </a:r>
          <a:r>
            <a:rPr lang="en-US" sz="1100"/>
            <a:t> &gt; </a:t>
          </a:r>
          <a:r>
            <a:rPr lang="en-US" sz="1100" b="1"/>
            <a:t>Subtotal</a:t>
          </a:r>
          <a:r>
            <a:rPr lang="en-US" sz="1100"/>
            <a:t> &gt; </a:t>
          </a:r>
          <a:r>
            <a:rPr lang="en-US" sz="1100" b="1"/>
            <a:t>OK</a:t>
          </a:r>
          <a:r>
            <a:rPr lang="en-US" sz="1100"/>
            <a:t>.</a:t>
          </a:r>
          <a:br>
            <a:rPr lang="en-US" sz="1100"/>
          </a:br>
          <a:br>
            <a:rPr lang="en-US" sz="1100"/>
          </a:br>
          <a:r>
            <a:rPr lang="en-US" sz="1100"/>
            <a:t>Excel displays the subtotal</a:t>
          </a:r>
          <a:r>
            <a:rPr lang="en-US" sz="1100" baseline="0"/>
            <a:t>s for Golf and Tennis in separate rows, and the Grand Total (the sum of both subtotals) in the last row.</a:t>
          </a:r>
          <a:endParaRPr lang="en-US" sz="1100"/>
        </a:p>
      </xdr:txBody>
    </xdr:sp>
    <xdr:clientData/>
  </xdr:twoCellAnchor>
  <xdr:twoCellAnchor>
    <xdr:from>
      <xdr:col>9</xdr:col>
      <xdr:colOff>312420</xdr:colOff>
      <xdr:row>0</xdr:row>
      <xdr:rowOff>121920</xdr:rowOff>
    </xdr:from>
    <xdr:to>
      <xdr:col>14</xdr:col>
      <xdr:colOff>99060</xdr:colOff>
      <xdr:row>8</xdr:row>
      <xdr:rowOff>76200</xdr:rowOff>
    </xdr:to>
    <xdr:sp macro="" textlink="">
      <xdr:nvSpPr>
        <xdr:cNvPr id="4" name="Wave 3">
          <a:extLst>
            <a:ext uri="{FF2B5EF4-FFF2-40B4-BE49-F238E27FC236}">
              <a16:creationId xmlns:a16="http://schemas.microsoft.com/office/drawing/2014/main" id="{EF8D9E93-98D9-4E88-AA54-7B747097D136}"/>
            </a:ext>
          </a:extLst>
        </xdr:cNvPr>
        <xdr:cNvSpPr/>
      </xdr:nvSpPr>
      <xdr:spPr>
        <a:xfrm>
          <a:off x="5798820" y="121920"/>
          <a:ext cx="2834640" cy="1714500"/>
        </a:xfrm>
        <a:prstGeom prst="wave">
          <a:avLst>
            <a:gd name="adj1" fmla="val 12500"/>
            <a:gd name="adj2" fmla="val 0"/>
          </a:avLst>
        </a:prstGeom>
        <a:solidFill>
          <a:srgbClr val="227447"/>
        </a:solidFill>
        <a:ln>
          <a:solidFill>
            <a:srgbClr val="2274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NOTE: </a:t>
          </a:r>
          <a:r>
            <a:rPr lang="en-US" sz="1100"/>
            <a:t>Subtotals aren't supported in Excel tables. If you need subtotals</a:t>
          </a:r>
          <a:r>
            <a:rPr lang="en-US" sz="1100" baseline="0"/>
            <a:t> from table data, use a PivotTable.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1</xdr:row>
      <xdr:rowOff>152400</xdr:rowOff>
    </xdr:from>
    <xdr:to>
      <xdr:col>7</xdr:col>
      <xdr:colOff>243840</xdr:colOff>
      <xdr:row>5</xdr:row>
      <xdr:rowOff>114300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454D5020-3A6B-4722-9024-1E42BA2D1CD9}"/>
            </a:ext>
          </a:extLst>
        </xdr:cNvPr>
        <xdr:cNvSpPr/>
      </xdr:nvSpPr>
      <xdr:spPr>
        <a:xfrm>
          <a:off x="4305300" y="815340"/>
          <a:ext cx="2377440" cy="899160"/>
        </a:xfrm>
        <a:prstGeom prst="wedgeRectCallout">
          <a:avLst/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 </a:t>
          </a:r>
          <a:r>
            <a:rPr lang="en-US" sz="1100" b="1"/>
            <a:t>2</a:t>
          </a:r>
          <a:r>
            <a:rPr lang="en-US" sz="1100"/>
            <a:t> in the syntax specifies</a:t>
          </a:r>
          <a:r>
            <a:rPr lang="en-US" sz="1100" baseline="0"/>
            <a:t> that SUBTOTAL should use the COUNT function to return the count of values in C7:C14 range.</a:t>
          </a:r>
          <a:endParaRPr lang="en-US" sz="1100"/>
        </a:p>
      </xdr:txBody>
    </xdr:sp>
    <xdr:clientData/>
  </xdr:twoCellAnchor>
  <xdr:twoCellAnchor>
    <xdr:from>
      <xdr:col>6</xdr:col>
      <xdr:colOff>144780</xdr:colOff>
      <xdr:row>14</xdr:row>
      <xdr:rowOff>45721</xdr:rowOff>
    </xdr:from>
    <xdr:to>
      <xdr:col>10</xdr:col>
      <xdr:colOff>251460</xdr:colOff>
      <xdr:row>25</xdr:row>
      <xdr:rowOff>175260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91654522-CA1A-4A6F-940A-C694B4D0988F}"/>
            </a:ext>
          </a:extLst>
        </xdr:cNvPr>
        <xdr:cNvSpPr/>
      </xdr:nvSpPr>
      <xdr:spPr>
        <a:xfrm>
          <a:off x="5935980" y="3139441"/>
          <a:ext cx="2545080" cy="1592579"/>
        </a:xfrm>
        <a:prstGeom prst="wedgeRectCallout">
          <a:avLst>
            <a:gd name="adj1" fmla="val -55599"/>
            <a:gd name="adj2" fmla="val -21082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</a:t>
          </a:r>
          <a:r>
            <a:rPr lang="en-US" sz="1100" baseline="0"/>
            <a:t> Example 2, four rows for Tennis are hidden. SUBTOTAL detects the hidden rows and returns the actual number of cells  in the range </a:t>
          </a:r>
          <a:r>
            <a:rPr lang="en-US" sz="1100" b="1" baseline="0"/>
            <a:t>8</a:t>
          </a:r>
          <a:r>
            <a:rPr lang="en-US" sz="1100" baseline="0"/>
            <a:t>. 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For SUBTOTAL to exclude hidden items in a range, set the </a:t>
          </a:r>
          <a:r>
            <a:rPr lang="en-US" sz="1100" i="1" baseline="0"/>
            <a:t>function_num</a:t>
          </a:r>
          <a:r>
            <a:rPr lang="en-US" sz="1100" baseline="0"/>
            <a:t> argument to 102.  Try it!</a:t>
          </a:r>
          <a:endParaRPr lang="en-US" sz="1100"/>
        </a:p>
      </xdr:txBody>
    </xdr:sp>
    <xdr:clientData/>
  </xdr:twoCellAnchor>
  <xdr:twoCellAnchor>
    <xdr:from>
      <xdr:col>0</xdr:col>
      <xdr:colOff>22858</xdr:colOff>
      <xdr:row>25</xdr:row>
      <xdr:rowOff>83818</xdr:rowOff>
    </xdr:from>
    <xdr:to>
      <xdr:col>3</xdr:col>
      <xdr:colOff>76200</xdr:colOff>
      <xdr:row>34</xdr:row>
      <xdr:rowOff>137160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D8FC6DFF-AABF-404F-B4BA-ED7381DF441C}"/>
            </a:ext>
          </a:extLst>
        </xdr:cNvPr>
        <xdr:cNvSpPr/>
      </xdr:nvSpPr>
      <xdr:spPr>
        <a:xfrm rot="10800000">
          <a:off x="22858" y="4701538"/>
          <a:ext cx="2171702" cy="1699262"/>
        </a:xfrm>
        <a:prstGeom prst="wedgeEllipseCallout">
          <a:avLst/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>
              <a:rot lat="0" lon="0" rev="10800000"/>
            </a:camera>
            <a:lightRig rig="threePt" dir="t"/>
          </a:scene3d>
        </a:bodyPr>
        <a:lstStyle/>
        <a:p>
          <a:pPr algn="l"/>
          <a:r>
            <a:rPr lang="en-US" sz="1100"/>
            <a:t>The</a:t>
          </a:r>
          <a:r>
            <a:rPr lang="en-US" sz="1100" baseline="0"/>
            <a:t> error indicator simply lets you know that the hidden cells in the range are not included in the formula.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8</xdr:row>
      <xdr:rowOff>144780</xdr:rowOff>
    </xdr:from>
    <xdr:to>
      <xdr:col>3</xdr:col>
      <xdr:colOff>497205</xdr:colOff>
      <xdr:row>12</xdr:row>
      <xdr:rowOff>91440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8655CC2A-1D7D-4FB1-A728-2FA084A26335}"/>
            </a:ext>
          </a:extLst>
        </xdr:cNvPr>
        <xdr:cNvSpPr/>
      </xdr:nvSpPr>
      <xdr:spPr>
        <a:xfrm>
          <a:off x="2057400" y="1905000"/>
          <a:ext cx="2249805" cy="800100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latin typeface="Calibri" panose="020F0502020204030204" pitchFamily="34" charset="0"/>
              <a:cs typeface="Calibri" panose="020F0502020204030204" pitchFamily="34" charset="0"/>
            </a:rPr>
            <a:t>Enter numerical values in the highlighted cells and watch the Output change.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1120140</xdr:colOff>
      <xdr:row>16</xdr:row>
      <xdr:rowOff>144780</xdr:rowOff>
    </xdr:from>
    <xdr:to>
      <xdr:col>4</xdr:col>
      <xdr:colOff>449580</xdr:colOff>
      <xdr:row>21</xdr:row>
      <xdr:rowOff>7620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7B141025-0E2B-4B49-80BC-B3C2D6839FE9}"/>
            </a:ext>
          </a:extLst>
        </xdr:cNvPr>
        <xdr:cNvSpPr/>
      </xdr:nvSpPr>
      <xdr:spPr>
        <a:xfrm>
          <a:off x="3002280" y="5562600"/>
          <a:ext cx="1973580" cy="777240"/>
        </a:xfrm>
        <a:prstGeom prst="wedgeRectCallout">
          <a:avLst>
            <a:gd name="adj1" fmla="val -21799"/>
            <a:gd name="adj2" fmla="val -66051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Refer to the description in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B15 and create the appropriate formula in this highlighted cell. </a:t>
          </a:r>
          <a:b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pPr algn="l"/>
          <a:endParaRPr lang="en-US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10</xdr:row>
      <xdr:rowOff>45720</xdr:rowOff>
    </xdr:from>
    <xdr:to>
      <xdr:col>5</xdr:col>
      <xdr:colOff>47625</xdr:colOff>
      <xdr:row>11</xdr:row>
      <xdr:rowOff>198120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CF48D362-DAB7-440B-98BD-54F72EA46D7B}"/>
            </a:ext>
          </a:extLst>
        </xdr:cNvPr>
        <xdr:cNvSpPr/>
      </xdr:nvSpPr>
      <xdr:spPr>
        <a:xfrm>
          <a:off x="2590800" y="7139940"/>
          <a:ext cx="2249805" cy="807720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latin typeface="Calibri" panose="020F0502020204030204" pitchFamily="34" charset="0"/>
              <a:cs typeface="Calibri" panose="020F0502020204030204" pitchFamily="34" charset="0"/>
            </a:rPr>
            <a:t>Click on this cell to see the formula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 in the Formula bar. The curly braces indicate that this is an array formula.</a:t>
          </a:r>
          <a:endParaRPr lang="en-US" sz="11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45720</xdr:rowOff>
    </xdr:from>
    <xdr:to>
      <xdr:col>9</xdr:col>
      <xdr:colOff>251460</xdr:colOff>
      <xdr:row>25</xdr:row>
      <xdr:rowOff>114300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401768C1-067C-46E8-AEBA-57CDD0DD80CA}"/>
            </a:ext>
          </a:extLst>
        </xdr:cNvPr>
        <xdr:cNvSpPr/>
      </xdr:nvSpPr>
      <xdr:spPr>
        <a:xfrm>
          <a:off x="2095500" y="472440"/>
          <a:ext cx="3642360" cy="4488180"/>
        </a:xfrm>
        <a:prstGeom prst="wedgeRectCallout">
          <a:avLst>
            <a:gd name="adj1" fmla="val -58130"/>
            <a:gd name="adj2" fmla="val -20259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latin typeface="Calibri" panose="020F0502020204030204" pitchFamily="34" charset="0"/>
              <a:cs typeface="Calibri" panose="020F0502020204030204" pitchFamily="34" charset="0"/>
            </a:rPr>
            <a:t>To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 create a PivotTable, follow these steps:</a:t>
          </a:r>
          <a:b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1) Select A1:C8.</a:t>
          </a:r>
        </a:p>
        <a:p>
          <a:pPr algn="l"/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2) Click 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Insert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 &gt; 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PivotTable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pPr algn="l"/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3) In the 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Create PivotTable 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dialog box, click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 Select a table or range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 &gt; 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New Worksheet 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&gt; </a:t>
          </a:r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OK</a:t>
          </a:r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pPr algn="l"/>
          <a:r>
            <a:rPr lang="en-US" sz="1100" b="0" baseline="0">
              <a:latin typeface="Calibri" panose="020F0502020204030204" pitchFamily="34" charset="0"/>
              <a:cs typeface="Calibri" panose="020F0502020204030204" pitchFamily="34" charset="0"/>
            </a:rPr>
            <a:t>4) </a:t>
          </a:r>
          <a:r>
            <a:rPr lang="en-US"/>
            <a:t>In the PivotTable Fields pane, do the following:</a:t>
          </a:r>
        </a:p>
        <a:p>
          <a:pPr lvl="1"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a. Drag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Sport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Rows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area.</a:t>
          </a:r>
          <a:r>
            <a:rPr lang="en-US"/>
            <a:t> </a:t>
          </a:r>
        </a:p>
        <a:p>
          <a:pPr lvl="1"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b. Drag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Quarter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Columns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area.</a:t>
          </a:r>
          <a:r>
            <a:rPr lang="en-US"/>
            <a:t> </a:t>
          </a:r>
        </a:p>
        <a:p>
          <a:pPr lvl="1"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c. Drag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area. </a:t>
          </a:r>
          <a:r>
            <a:rPr lang="en-US"/>
            <a:t> </a:t>
          </a:r>
        </a:p>
        <a:p>
          <a:pPr lvl="1"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d. Repeat step c. </a:t>
          </a:r>
          <a:r>
            <a:rPr lang="en-US"/>
            <a:t> </a:t>
          </a:r>
        </a:p>
        <a:p>
          <a:pPr lvl="1"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field name displays as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SumofSales2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 both the PivotTable and the Values area.</a:t>
          </a:r>
          <a:b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e. In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area, click the dropdown next to SumofSales2 and select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Value Field Settings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/>
            <a:t> </a:t>
          </a:r>
          <a:br>
            <a:rPr lang="en-US"/>
          </a:br>
          <a:r>
            <a:rPr lang="en-US"/>
            <a:t>f.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Value Field Settings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dialog box, do the following:</a:t>
          </a:r>
          <a:r>
            <a:rPr lang="en-US"/>
            <a:t> </a:t>
          </a:r>
        </a:p>
        <a:p>
          <a:pPr lvl="2" algn="l"/>
          <a:br>
            <a:rPr lang="en-US"/>
          </a:br>
          <a:r>
            <a:rPr lang="en-US"/>
            <a:t>i.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Summarize value field by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section, select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/>
            <a:t> </a:t>
          </a:r>
          <a:br>
            <a:rPr lang="en-US"/>
          </a:br>
          <a:r>
            <a:rPr lang="en-US"/>
            <a:t>ii.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the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 Name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field, modify the name to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/>
            <a:t> </a:t>
          </a:r>
          <a:br>
            <a:rPr lang="en-US"/>
          </a:b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field name displays as SumofSales2 in both the PivotTable and the Values area.</a:t>
          </a:r>
          <a:r>
            <a:rPr lang="en-US"/>
            <a:t> </a:t>
          </a:r>
          <a:br>
            <a:rPr lang="en-US"/>
          </a:br>
          <a:r>
            <a:rPr lang="en-US"/>
            <a:t>iii. Click </a:t>
          </a:r>
          <a:r>
            <a:rPr lang="en-US" b="1"/>
            <a:t>OK</a:t>
          </a:r>
          <a:r>
            <a:rPr lang="en-US"/>
            <a:t>.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/>
            <a:t> </a:t>
          </a:r>
        </a:p>
        <a:p>
          <a:pPr algn="l"/>
          <a:br>
            <a:rPr lang="en-US"/>
          </a:br>
          <a:endParaRPr lang="en-US" sz="11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14</xdr:row>
      <xdr:rowOff>137160</xdr:rowOff>
    </xdr:from>
    <xdr:to>
      <xdr:col>2</xdr:col>
      <xdr:colOff>582930</xdr:colOff>
      <xdr:row>23</xdr:row>
      <xdr:rowOff>152400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EA4BE0CC-B681-4501-AF9C-7003E82973E4}"/>
            </a:ext>
          </a:extLst>
        </xdr:cNvPr>
        <xdr:cNvSpPr/>
      </xdr:nvSpPr>
      <xdr:spPr>
        <a:xfrm>
          <a:off x="381000" y="3116580"/>
          <a:ext cx="3181350" cy="1661160"/>
        </a:xfrm>
        <a:prstGeom prst="wedgeRectCallout">
          <a:avLst>
            <a:gd name="adj1" fmla="val -21799"/>
            <a:gd name="adj2" fmla="val -66051"/>
          </a:avLst>
        </a:prstGeom>
        <a:solidFill>
          <a:srgbClr val="2274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#VALUE! error is because the formula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is not entered as an array formula. To do that,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on the highlighted cell,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then,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press Ctrl + Shift + Enter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also called the key combination). Notice the curly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braces wrapped around the formula. This is now an array formula!</a:t>
          </a:r>
          <a:b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formula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will now display the value of </a:t>
          </a:r>
          <a:r>
            <a:rPr lang="en-US" sz="1100" i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pPr algn="l"/>
          <a:endParaRPr lang="en-US" sz="11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9" totalsRowShown="0" headerRowDxfId="80" dataDxfId="79">
  <autoFilter ref="A4:C9" xr:uid="{00000000-0009-0000-0100-000002000000}">
    <filterColumn colId="0" hiddenButton="1"/>
    <filterColumn colId="1" hiddenButton="1"/>
    <filterColumn colId="2" hiddenButton="1"/>
  </autoFilter>
  <tableColumns count="3">
    <tableColumn id="2" xr3:uid="{00000000-0010-0000-0100-000002000000}" name="Name" dataDxfId="78"/>
    <tableColumn id="3" xr3:uid="{00000000-0010-0000-0100-000003000000}" name="Hours worked (week 1)" dataDxfId="77"/>
    <tableColumn id="4" xr3:uid="{00000000-0010-0000-0100-000004000000}" name="Hours worked (week 2)" dataDxfId="76"/>
  </tableColumns>
  <tableStyleInfo name="Excel UI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4:C13" totalsRowShown="0" headerRowDxfId="75" dataDxfId="74">
  <autoFilter ref="A4:C13" xr:uid="{00000000-0009-0000-0100-000004000000}"/>
  <tableColumns count="3">
    <tableColumn id="1" xr3:uid="{00000000-0010-0000-0200-000001000000}" name="Sport" dataDxfId="73"/>
    <tableColumn id="2" xr3:uid="{00000000-0010-0000-0200-000002000000}" name="Quarter" dataDxfId="72"/>
    <tableColumn id="3" xr3:uid="{00000000-0010-0000-0200-000003000000}" name="Sales" dataDxfId="71"/>
  </tableColumns>
  <tableStyleInfo name="Excel UI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6" displayName="Table46" ref="A16:C25" totalsRowShown="0" headerRowDxfId="70" dataDxfId="69">
  <autoFilter ref="A16:C25" xr:uid="{00000000-0009-0000-0100-000005000000}"/>
  <tableColumns count="3">
    <tableColumn id="1" xr3:uid="{00000000-0010-0000-0300-000001000000}" name="Sport" dataDxfId="68"/>
    <tableColumn id="2" xr3:uid="{00000000-0010-0000-0300-000002000000}" name="Quarter" dataDxfId="67"/>
    <tableColumn id="3" xr3:uid="{00000000-0010-0000-0300-000003000000}" name="Sales" dataDxfId="66"/>
  </tableColumns>
  <tableStyleInfo name="Excel UI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3:A12" totalsRowShown="0" headerRowDxfId="65" dataDxfId="64">
  <autoFilter ref="A3:A12" xr:uid="{00000000-0009-0000-0100-000003000000}"/>
  <tableColumns count="1">
    <tableColumn id="1" xr3:uid="{00000000-0010-0000-0400-000001000000}" name="Sample Data" dataDxfId="63"/>
  </tableColumns>
  <tableStyleInfo name="Excel UI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7" displayName="Table37" ref="A3:B9" totalsRowShown="0" headerRowDxfId="62" dataDxfId="61">
  <autoFilter ref="A3:B9" xr:uid="{00000000-0009-0000-0100-000006000000}"/>
  <tableColumns count="2">
    <tableColumn id="1" xr3:uid="{00000000-0010-0000-0500-000001000000}" name="Salesperson" dataDxfId="60"/>
    <tableColumn id="2" xr3:uid="{00000000-0010-0000-0500-000002000000}" name="Invoice" dataDxfId="59"/>
  </tableColumns>
  <tableStyleInfo name="Excel UI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6000000}" name="Table21" displayName="Table21" ref="A11:C16" totalsRowShown="0">
  <autoFilter ref="A11:C16" xr:uid="{00000000-0009-0000-0100-000015000000}">
    <filterColumn colId="0" hiddenButton="1"/>
    <filterColumn colId="1" hiddenButton="1"/>
    <filterColumn colId="2" hiddenButton="1"/>
  </autoFilter>
  <tableColumns count="3">
    <tableColumn id="1" xr3:uid="{00000000-0010-0000-0600-000001000000}" name="When formula is" dataDxfId="58">
      <calculatedColumnFormula>_xlfn.FORMULATEXT(C12)</calculatedColumnFormula>
    </tableColumn>
    <tableColumn id="2" xr3:uid="{00000000-0010-0000-0600-000002000000}" name="Description" dataDxfId="57"/>
    <tableColumn id="3" xr3:uid="{00000000-0010-0000-0600-000003000000}" name="Output"/>
  </tableColumns>
  <tableStyleInfo name="Excel UI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11" displayName="Table211" ref="A3:B9" totalsRowShown="0" headerRowDxfId="56" dataDxfId="55">
  <autoFilter ref="A3:B9" xr:uid="{00000000-0009-0000-0100-000008000000}"/>
  <tableColumns count="2">
    <tableColumn id="2" xr3:uid="{00000000-0010-0000-0700-000002000000}" name="Sales in units" dataDxfId="54" totalsRowDxfId="53"/>
    <tableColumn id="3" xr3:uid="{00000000-0010-0000-0700-000003000000}" name="Month ending" dataDxfId="52" totalsRowDxfId="51"/>
  </tableColumns>
  <tableStyleInfo name="Excel UI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6" displayName="Table16" ref="A11:B12" totalsRowShown="0" dataDxfId="50">
  <autoFilter ref="A11:B12" xr:uid="{00000000-0009-0000-0100-000009000000}">
    <filterColumn colId="0" hiddenButton="1"/>
    <filterColumn colId="1" hiddenButton="1"/>
  </autoFilter>
  <tableColumns count="2">
    <tableColumn id="1" xr3:uid="{00000000-0010-0000-0800-000001000000}" name="Sales in units" dataDxfId="49"/>
    <tableColumn id="2" xr3:uid="{00000000-0010-0000-0800-000002000000}" name="Month ending" dataDxfId="48"/>
  </tableColumns>
  <tableStyleInfo name="Excel UI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11" displayName="Table111" ref="A3:C17" totalsRowShown="0" headerRowDxfId="47" dataDxfId="46">
  <autoFilter ref="A3:C17" xr:uid="{00000000-0009-0000-0100-00000A000000}"/>
  <tableColumns count="3">
    <tableColumn id="1" xr3:uid="{00000000-0010-0000-0900-000001000000}" name="Employee ID" dataDxfId="45"/>
    <tableColumn id="4" xr3:uid="{00000000-0010-0000-0900-000004000000}" name="Department" dataDxfId="44"/>
    <tableColumn id="3" xr3:uid="{00000000-0010-0000-0900-000003000000}" name="Region No." dataDxfId="43"/>
  </tableColumns>
  <tableStyleInfo name="Excel UI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212" displayName="Table212" ref="A3:D13" totalsRowShown="0" headerRowDxfId="42" dataDxfId="41">
  <autoFilter ref="A3:D13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Region" dataDxfId="40"/>
    <tableColumn id="2" xr3:uid="{00000000-0010-0000-0A00-000002000000}" name="Salesperson" dataDxfId="39"/>
    <tableColumn id="3" xr3:uid="{00000000-0010-0000-0A00-000003000000}" name="Type" dataDxfId="38"/>
    <tableColumn id="4" xr3:uid="{00000000-0010-0000-0A00-000004000000}" name="Sales" dataDxfId="37"/>
  </tableColumns>
  <tableStyleInfo name="Excel UI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B000000}" name="Table31321" displayName="Table31321" ref="A3:B9" totalsRowShown="0" headerRowDxfId="36" dataDxfId="35">
  <autoFilter ref="A3:B9" xr:uid="{00000000-0009-0000-0100-000014000000}">
    <filterColumn colId="0" hiddenButton="1"/>
    <filterColumn colId="1" hiddenButton="1"/>
  </autoFilter>
  <tableColumns count="2">
    <tableColumn id="1" xr3:uid="{00000000-0010-0000-0B00-000001000000}" name="Salesperson" dataDxfId="34"/>
    <tableColumn id="2" xr3:uid="{00000000-0010-0000-0B00-000002000000}" name="Invoice" dataDxfId="33"/>
  </tableColumns>
  <tableStyleInfo name="Excel UI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414" displayName="Table414" ref="A1:C8" totalsRowShown="0" headerRowDxfId="32" dataDxfId="31">
  <autoFilter ref="A1:C8" xr:uid="{00000000-0009-0000-0100-00000D000000}">
    <filterColumn colId="0" hiddenButton="1"/>
    <filterColumn colId="1" hiddenButton="1"/>
    <filterColumn colId="2" hiddenButton="1"/>
  </autoFilter>
  <tableColumns count="3">
    <tableColumn id="1" xr3:uid="{00000000-0010-0000-0C00-000001000000}" name="Sport" dataDxfId="30"/>
    <tableColumn id="2" xr3:uid="{00000000-0010-0000-0C00-000002000000}" name="Quarter" dataDxfId="29"/>
    <tableColumn id="3" xr3:uid="{00000000-0010-0000-0C00-000003000000}" name="Sales" dataDxfId="28"/>
  </tableColumns>
  <tableStyleInfo name="Excel UI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215" displayName="Table215" ref="A3:D13" totalsRowShown="0" headerRowDxfId="27" dataDxfId="26">
  <autoFilter ref="A3:D13" xr:uid="{00000000-0009-0000-0100-00000E000000}"/>
  <tableColumns count="4">
    <tableColumn id="1" xr3:uid="{00000000-0010-0000-0D00-000001000000}" name="Region" dataDxfId="25"/>
    <tableColumn id="2" xr3:uid="{00000000-0010-0000-0D00-000002000000}" name="Salesperson" dataDxfId="24"/>
    <tableColumn id="3" xr3:uid="{00000000-0010-0000-0D00-000003000000}" name="Type" dataDxfId="23"/>
    <tableColumn id="4" xr3:uid="{00000000-0010-0000-0D00-000004000000}" name="Sales" dataDxfId="22"/>
  </tableColumns>
  <tableStyleInfo name="Excel UI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" displayName="Table814" ref="A3:B9" totalsRowShown="0" headerRowDxfId="21" dataDxfId="20">
  <autoFilter ref="A3:B9" xr:uid="{00000000-0009-0000-0100-00000F000000}">
    <filterColumn colId="0" hiddenButton="1"/>
    <filterColumn colId="1" hiddenButton="1"/>
  </autoFilter>
  <tableColumns count="2">
    <tableColumn id="1" xr3:uid="{00000000-0010-0000-0E00-000001000000}" name="Product ID" dataDxfId="19"/>
    <tableColumn id="2" xr3:uid="{00000000-0010-0000-0E00-000002000000}" name="Ratings" dataDxfId="18"/>
  </tableColumns>
  <tableStyleInfo name="Excel UI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7" displayName="Table7" ref="A3:D9" totalsRowShown="0" headerRowDxfId="17" dataDxfId="16">
  <autoFilter ref="A3:D9" xr:uid="{00000000-0009-0000-0100-00001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F00-000001000000}" name="Location" dataDxfId="15"/>
    <tableColumn id="2" xr3:uid="{00000000-0010-0000-0F00-000002000000}" name="Location ID" dataDxfId="14"/>
    <tableColumn id="3" xr3:uid="{00000000-0010-0000-0F00-000003000000}" name="Highest-selling fruit" dataDxfId="13"/>
    <tableColumn id="4" xr3:uid="{00000000-0010-0000-0F00-000004000000}" name="Sales" dataDxfId="12"/>
  </tableColumns>
  <tableStyleInfo name="Excel UI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419" displayName="Table419" ref="A3:B12" totalsRowShown="0" headerRowDxfId="11" dataDxfId="10">
  <autoFilter ref="A3:B12" xr:uid="{00000000-0009-0000-0100-000012000000}">
    <filterColumn colId="0" hiddenButton="1"/>
    <filterColumn colId="1" hiddenButton="1"/>
  </autoFilter>
  <tableColumns count="2">
    <tableColumn id="1" xr3:uid="{00000000-0010-0000-1000-000001000000}" name="Dataset 1" dataDxfId="9"/>
    <tableColumn id="2" xr3:uid="{00000000-0010-0000-1000-000002000000}" name="Dataset 2" dataDxfId="8"/>
  </tableColumns>
  <tableStyleInfo name="Excel UI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Table118" displayName="Table118" ref="A3:C17" totalsRowShown="0" headerRowDxfId="7" dataDxfId="6">
  <autoFilter ref="A3:C17" xr:uid="{00000000-0009-0000-0100-000011000000}">
    <filterColumn colId="0" hiddenButton="1"/>
    <filterColumn colId="1" hiddenButton="1"/>
    <filterColumn colId="2" hiddenButton="1"/>
  </autoFilter>
  <tableColumns count="3">
    <tableColumn id="1" xr3:uid="{00000000-0010-0000-1100-000001000000}" name="Employee ID" dataDxfId="5"/>
    <tableColumn id="4" xr3:uid="{00000000-0010-0000-1100-000004000000}" name="Department" dataDxfId="4"/>
    <tableColumn id="3" xr3:uid="{00000000-0010-0000-1100-000003000000}" name="Region No." dataDxfId="3"/>
  </tableColumns>
  <tableStyleInfo name="Excel UI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2000000}" name="Table14" displayName="Table14" ref="A3:A8" totalsRowShown="0" headerRowDxfId="2" dataDxfId="1">
  <autoFilter ref="A3:A8" xr:uid="{00000000-0009-0000-0100-000007000000}"/>
  <tableColumns count="1">
    <tableColumn id="1" xr3:uid="{00000000-0010-0000-1200-000001000000}" name="Sample data" dataDxfId="0"/>
  </tableColumns>
  <tableStyleInfo name="Excel UI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office.com/en-US/article/SUM-function-043E1C7D-7726-4E80-8F32-07B23E057F89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pport.office.com/en-us/article/Insert-subtotals-in-a-list-of-data-in-a-worksheet-7881d256-b4fa-4f81-b71e-b0a3d4a52b3a?ui=en-US&amp;rs=en-US&amp;ad=U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office.com/en-US/article/SUBTOTAL-function-7B027003-F060-4ADE-9040-E478765B9939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office.com/en-US/article/COUNT-function-A59CD7FC-B623-4D93-87A4-D23BF411294C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e0de10c6-f885-4e71-abb4-1f464816df34" TargetMode="Externa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upport.office.com/en-us/article/DCOUNT-function-c1fc7b93-fb0d-4d8d-97db-8d5f076eaeb1" TargetMode="Externa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upport.office.com/en-US/article/COUNTIFS-function-DDA3DC6E-F74E-4AEE-88BC-AA8C2A86684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upport.office.com/en-US/article/IF-function-%E2%80%93-nested-formulas-and-avoiding-pitfalls-0b22ff44-f149-44ba-aeb5-4ef99da241c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support.office.com/en-US/article/IF-function-%E2%80%93-nested-formulas-and-avoiding-pitfalls-0b22ff44-f149-44ba-aeb5-4ef99da241c8" TargetMode="Externa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support.office.com/en-us/article/Ways-to-count-values-in-a-worksheet-81335b1b-d5e8-4f42-ae72-245b948c45bd?ui=en-US&amp;rs=en-US&amp;ad=US" TargetMode="Externa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upport.office.com/en-us/article/COUNTA-function-7DC98875-D5C1-46F1-9A82-53F3219E2509?ui=en-US&amp;rs=en-US&amp;ad=US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support.office.com/en-US/article/DCOUNTA-function-00232A6D-5A66-4A01-A25B-C1653FDA124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support.office.com/en-US/article/COUNTBLANK-function-6A92D772-675C-4BEE-B346-24AF6BD3AC2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tabSelected="1" workbookViewId="0">
      <selection activeCell="A13" sqref="A13"/>
    </sheetView>
  </sheetViews>
  <sheetFormatPr defaultRowHeight="14.4" x14ac:dyDescent="0.3"/>
  <cols>
    <col min="1" max="1" width="34.44140625" customWidth="1"/>
    <col min="2" max="2" width="8.88671875" customWidth="1"/>
    <col min="3" max="3" width="11.77734375" customWidth="1"/>
    <col min="4" max="4" width="11.33203125" customWidth="1"/>
  </cols>
  <sheetData>
    <row r="1" spans="1:3" ht="23.4" x14ac:dyDescent="0.45">
      <c r="A1" s="1" t="s">
        <v>0</v>
      </c>
    </row>
    <row r="3" spans="1:3" ht="16.8" x14ac:dyDescent="0.4">
      <c r="A3" s="11" t="s">
        <v>23</v>
      </c>
    </row>
    <row r="4" spans="1:3" ht="50.4" x14ac:dyDescent="0.4">
      <c r="A4" s="4" t="s">
        <v>1</v>
      </c>
      <c r="B4" s="4" t="s">
        <v>6</v>
      </c>
      <c r="C4" s="4" t="s">
        <v>7</v>
      </c>
    </row>
    <row r="5" spans="1:3" ht="16.8" x14ac:dyDescent="0.4">
      <c r="A5" s="2" t="s">
        <v>2</v>
      </c>
      <c r="B5" s="6">
        <v>8</v>
      </c>
      <c r="C5" s="6">
        <v>2</v>
      </c>
    </row>
    <row r="6" spans="1:3" ht="16.8" x14ac:dyDescent="0.4">
      <c r="A6" s="2" t="s">
        <v>5</v>
      </c>
      <c r="B6" s="6"/>
      <c r="C6" s="6">
        <v>4</v>
      </c>
    </row>
    <row r="7" spans="1:3" ht="16.8" x14ac:dyDescent="0.4">
      <c r="A7" s="2" t="s">
        <v>3</v>
      </c>
      <c r="B7" s="6">
        <v>8</v>
      </c>
      <c r="C7" s="6">
        <v>8</v>
      </c>
    </row>
    <row r="8" spans="1:3" ht="16.8" x14ac:dyDescent="0.4">
      <c r="A8" s="2" t="s">
        <v>4</v>
      </c>
      <c r="B8" s="6">
        <v>5</v>
      </c>
      <c r="C8" s="6">
        <v>4</v>
      </c>
    </row>
    <row r="9" spans="1:3" ht="16.8" x14ac:dyDescent="0.4">
      <c r="A9" s="2" t="s">
        <v>8</v>
      </c>
      <c r="B9" s="6"/>
      <c r="C9" s="6">
        <f>COUNT(C5:C8)</f>
        <v>4</v>
      </c>
    </row>
    <row r="12" spans="1:3" ht="16.8" x14ac:dyDescent="0.4">
      <c r="A12" s="3" t="s">
        <v>35</v>
      </c>
    </row>
    <row r="13" spans="1:3" ht="16.8" x14ac:dyDescent="0.4">
      <c r="A13" s="2"/>
    </row>
  </sheetData>
  <hyperlinks>
    <hyperlink ref="A12" r:id="rId1" xr:uid="{00000000-0004-0000-0100-000000000000}"/>
  </hyperlinks>
  <pageMargins left="0.7" right="0.7" top="0.75" bottom="0.75" header="0.3" footer="0.3"/>
  <pageSetup orientation="portrait" horizontalDpi="360" verticalDpi="36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selection activeCell="E18" sqref="E18"/>
    </sheetView>
  </sheetViews>
  <sheetFormatPr defaultRowHeight="14.4" x14ac:dyDescent="0.3"/>
  <sheetData>
    <row r="1" spans="1:3" ht="23.4" x14ac:dyDescent="0.45">
      <c r="A1" s="1" t="s">
        <v>15</v>
      </c>
    </row>
    <row r="3" spans="1:3" ht="16.8" x14ac:dyDescent="0.4">
      <c r="A3" s="2" t="s">
        <v>24</v>
      </c>
    </row>
    <row r="4" spans="1:3" ht="16.8" x14ac:dyDescent="0.4">
      <c r="A4" s="11" t="s">
        <v>16</v>
      </c>
      <c r="B4" s="11" t="s">
        <v>17</v>
      </c>
      <c r="C4" s="11" t="s">
        <v>18</v>
      </c>
    </row>
    <row r="5" spans="1:3" ht="16.8" x14ac:dyDescent="0.4">
      <c r="A5" s="2" t="s">
        <v>19</v>
      </c>
      <c r="B5" s="2" t="s">
        <v>20</v>
      </c>
      <c r="C5" s="12">
        <v>1500</v>
      </c>
    </row>
    <row r="6" spans="1:3" ht="16.8" x14ac:dyDescent="0.4">
      <c r="A6" s="2" t="s">
        <v>19</v>
      </c>
      <c r="B6" s="2" t="s">
        <v>21</v>
      </c>
      <c r="C6" s="12">
        <v>2000</v>
      </c>
    </row>
    <row r="7" spans="1:3" ht="16.8" x14ac:dyDescent="0.4">
      <c r="A7" s="2" t="s">
        <v>19</v>
      </c>
      <c r="B7" s="2" t="s">
        <v>20</v>
      </c>
      <c r="C7" s="12">
        <v>6430</v>
      </c>
    </row>
    <row r="8" spans="1:3" ht="16.8" x14ac:dyDescent="0.4">
      <c r="A8" s="2" t="s">
        <v>22</v>
      </c>
      <c r="B8" s="2" t="s">
        <v>20</v>
      </c>
      <c r="C8" s="12">
        <v>600</v>
      </c>
    </row>
    <row r="9" spans="1:3" ht="16.8" x14ac:dyDescent="0.4">
      <c r="A9" s="2" t="s">
        <v>22</v>
      </c>
      <c r="B9" s="2" t="s">
        <v>21</v>
      </c>
      <c r="C9" s="12">
        <v>1500</v>
      </c>
    </row>
    <row r="10" spans="1:3" ht="16.8" x14ac:dyDescent="0.4">
      <c r="A10" s="2" t="s">
        <v>22</v>
      </c>
      <c r="B10" s="2" t="s">
        <v>20</v>
      </c>
      <c r="C10" s="12">
        <v>4700</v>
      </c>
    </row>
    <row r="11" spans="1:3" ht="16.8" x14ac:dyDescent="0.4">
      <c r="A11" s="2" t="s">
        <v>22</v>
      </c>
      <c r="B11" s="2" t="s">
        <v>21</v>
      </c>
      <c r="C11" s="12">
        <v>3250</v>
      </c>
    </row>
    <row r="13" spans="1:3" ht="16.8" x14ac:dyDescent="0.4">
      <c r="A13" s="3" t="s">
        <v>34</v>
      </c>
    </row>
  </sheetData>
  <hyperlinks>
    <hyperlink ref="A13" r:id="rId1" xr:uid="{00000000-0004-0000-0200-000000000000}"/>
  </hyperlinks>
  <pageMargins left="0.7" right="0.7" top="0.75" bottom="0.75" header="0.3" footer="0.3"/>
  <pageSetup orientation="portrait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showGridLines="0" workbookViewId="0">
      <selection activeCell="C5" sqref="C5"/>
    </sheetView>
  </sheetViews>
  <sheetFormatPr defaultRowHeight="14.4" x14ac:dyDescent="0.3"/>
  <cols>
    <col min="1" max="1" width="10" customWidth="1"/>
    <col min="2" max="2" width="12" customWidth="1"/>
    <col min="5" max="5" width="16.6640625" customWidth="1"/>
    <col min="6" max="6" width="28" customWidth="1"/>
  </cols>
  <sheetData>
    <row r="1" spans="1:6" ht="23.4" x14ac:dyDescent="0.45">
      <c r="A1" s="1" t="s">
        <v>30</v>
      </c>
    </row>
    <row r="2" spans="1:6" ht="23.4" x14ac:dyDescent="0.45">
      <c r="A2" s="1"/>
    </row>
    <row r="3" spans="1:6" ht="16.8" x14ac:dyDescent="0.4">
      <c r="A3" s="11" t="s">
        <v>27</v>
      </c>
    </row>
    <row r="4" spans="1:6" ht="16.8" x14ac:dyDescent="0.4">
      <c r="A4" s="11" t="s">
        <v>16</v>
      </c>
      <c r="B4" s="11" t="s">
        <v>17</v>
      </c>
      <c r="C4" s="11" t="s">
        <v>18</v>
      </c>
      <c r="F4" s="11"/>
    </row>
    <row r="5" spans="1:6" ht="16.8" x14ac:dyDescent="0.4">
      <c r="A5" s="2" t="s">
        <v>19</v>
      </c>
      <c r="B5" s="2" t="s">
        <v>26</v>
      </c>
      <c r="C5" s="2">
        <v>4200</v>
      </c>
    </row>
    <row r="6" spans="1:6" ht="16.8" x14ac:dyDescent="0.4">
      <c r="A6" s="2" t="s">
        <v>19</v>
      </c>
      <c r="B6" s="2" t="s">
        <v>25</v>
      </c>
      <c r="C6" s="2">
        <v>3245</v>
      </c>
    </row>
    <row r="7" spans="1:6" ht="16.8" x14ac:dyDescent="0.4">
      <c r="A7" s="2" t="s">
        <v>19</v>
      </c>
      <c r="B7" s="2" t="s">
        <v>20</v>
      </c>
      <c r="C7" s="2">
        <v>1500</v>
      </c>
      <c r="E7" s="11" t="s">
        <v>14</v>
      </c>
      <c r="F7" s="12" t="str">
        <f ca="1">_xlfn.FORMULATEXT(F8)</f>
        <v>=SUBTOTAL(2,C5:C12)</v>
      </c>
    </row>
    <row r="8" spans="1:6" ht="16.8" x14ac:dyDescent="0.4">
      <c r="A8" s="2" t="s">
        <v>19</v>
      </c>
      <c r="B8" s="2" t="s">
        <v>21</v>
      </c>
      <c r="C8" s="2">
        <v>2000</v>
      </c>
      <c r="E8" s="11" t="s">
        <v>29</v>
      </c>
      <c r="F8" s="47">
        <f>SUBTOTAL(2,C5:C12)</f>
        <v>8</v>
      </c>
    </row>
    <row r="9" spans="1:6" ht="16.8" x14ac:dyDescent="0.4">
      <c r="A9" s="2" t="s">
        <v>22</v>
      </c>
      <c r="B9" s="2" t="s">
        <v>26</v>
      </c>
      <c r="C9" s="2">
        <v>600</v>
      </c>
    </row>
    <row r="10" spans="1:6" ht="16.8" x14ac:dyDescent="0.4">
      <c r="A10" s="2" t="s">
        <v>22</v>
      </c>
      <c r="B10" s="2" t="s">
        <v>25</v>
      </c>
      <c r="C10" s="2">
        <v>1500</v>
      </c>
    </row>
    <row r="11" spans="1:6" ht="16.8" x14ac:dyDescent="0.4">
      <c r="A11" s="2" t="s">
        <v>22</v>
      </c>
      <c r="B11" s="2" t="s">
        <v>20</v>
      </c>
      <c r="C11" s="2">
        <v>4700</v>
      </c>
    </row>
    <row r="12" spans="1:6" ht="16.8" x14ac:dyDescent="0.4">
      <c r="A12" s="2" t="s">
        <v>22</v>
      </c>
      <c r="B12" s="2" t="s">
        <v>21</v>
      </c>
      <c r="C12" s="2">
        <v>5000</v>
      </c>
    </row>
    <row r="13" spans="1:6" ht="16.8" x14ac:dyDescent="0.4">
      <c r="A13" s="11" t="s">
        <v>121</v>
      </c>
      <c r="B13" s="11"/>
      <c r="C13" s="11">
        <f>SUM(C5:C12)</f>
        <v>22745</v>
      </c>
    </row>
    <row r="15" spans="1:6" ht="16.8" x14ac:dyDescent="0.4">
      <c r="A15" s="11" t="s">
        <v>28</v>
      </c>
    </row>
    <row r="16" spans="1:6" ht="16.8" x14ac:dyDescent="0.4">
      <c r="A16" s="11" t="s">
        <v>16</v>
      </c>
      <c r="B16" s="11" t="s">
        <v>17</v>
      </c>
      <c r="C16" s="11" t="s">
        <v>18</v>
      </c>
    </row>
    <row r="17" spans="1:6" ht="16.8" x14ac:dyDescent="0.4">
      <c r="A17" s="2" t="s">
        <v>19</v>
      </c>
      <c r="B17" s="2" t="s">
        <v>26</v>
      </c>
      <c r="C17" s="2">
        <v>4200</v>
      </c>
      <c r="E17" s="11" t="s">
        <v>14</v>
      </c>
      <c r="F17" s="12" t="str">
        <f ca="1">_xlfn.FORMULATEXT(F18)</f>
        <v>=SUBTOTAL(2,C17:C24)</v>
      </c>
    </row>
    <row r="18" spans="1:6" ht="16.8" x14ac:dyDescent="0.4">
      <c r="A18" s="2" t="s">
        <v>19</v>
      </c>
      <c r="B18" s="2" t="s">
        <v>25</v>
      </c>
      <c r="C18" s="2">
        <v>3245</v>
      </c>
      <c r="E18" s="11" t="s">
        <v>29</v>
      </c>
      <c r="F18" s="48">
        <f>SUBTOTAL(2,C17:C24)</f>
        <v>8</v>
      </c>
    </row>
    <row r="19" spans="1:6" ht="16.8" x14ac:dyDescent="0.4">
      <c r="A19" s="2" t="s">
        <v>19</v>
      </c>
      <c r="B19" s="2" t="s">
        <v>20</v>
      </c>
      <c r="C19" s="2">
        <v>1500</v>
      </c>
    </row>
    <row r="20" spans="1:6" ht="16.8" x14ac:dyDescent="0.4">
      <c r="A20" s="2" t="s">
        <v>19</v>
      </c>
      <c r="B20" s="2" t="s">
        <v>21</v>
      </c>
      <c r="C20" s="2">
        <v>2000</v>
      </c>
    </row>
    <row r="21" spans="1:6" ht="16.8" hidden="1" x14ac:dyDescent="0.4">
      <c r="A21" s="2" t="s">
        <v>22</v>
      </c>
      <c r="B21" s="2" t="s">
        <v>26</v>
      </c>
      <c r="C21" s="2">
        <v>600</v>
      </c>
    </row>
    <row r="22" spans="1:6" ht="16.8" hidden="1" x14ac:dyDescent="0.4">
      <c r="A22" s="2" t="s">
        <v>22</v>
      </c>
      <c r="B22" s="2" t="s">
        <v>25</v>
      </c>
      <c r="C22" s="2">
        <v>1500</v>
      </c>
    </row>
    <row r="23" spans="1:6" ht="16.8" hidden="1" x14ac:dyDescent="0.4">
      <c r="A23" s="2" t="s">
        <v>22</v>
      </c>
      <c r="B23" s="2" t="s">
        <v>20</v>
      </c>
      <c r="C23" s="2">
        <v>4700</v>
      </c>
    </row>
    <row r="24" spans="1:6" ht="16.8" hidden="1" x14ac:dyDescent="0.4">
      <c r="A24" s="2" t="s">
        <v>22</v>
      </c>
      <c r="B24" s="2" t="s">
        <v>21</v>
      </c>
      <c r="C24" s="2">
        <v>5000</v>
      </c>
    </row>
    <row r="25" spans="1:6" ht="16.8" x14ac:dyDescent="0.4">
      <c r="A25" s="11" t="s">
        <v>121</v>
      </c>
      <c r="B25" s="11"/>
      <c r="C25" s="11">
        <f>SUM(C17:C20)</f>
        <v>10945</v>
      </c>
    </row>
    <row r="37" spans="1:1" ht="16.8" x14ac:dyDescent="0.4">
      <c r="A37" s="3" t="s">
        <v>32</v>
      </c>
    </row>
    <row r="38" spans="1:1" ht="16.8" x14ac:dyDescent="0.4">
      <c r="A38" s="3" t="s">
        <v>120</v>
      </c>
    </row>
  </sheetData>
  <hyperlinks>
    <hyperlink ref="A37" r:id="rId1" xr:uid="{00000000-0004-0000-0300-000000000000}"/>
  </hyperlinks>
  <pageMargins left="0.7" right="0.7" top="0.75" bottom="0.75" header="0.3" footer="0.3"/>
  <pageSetup orientation="portrait" horizontalDpi="360" verticalDpi="360" r:id="rId2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showGridLines="0" workbookViewId="0">
      <selection activeCell="A10" sqref="A10"/>
    </sheetView>
  </sheetViews>
  <sheetFormatPr defaultRowHeight="14.4" x14ac:dyDescent="0.3"/>
  <cols>
    <col min="1" max="1" width="26.77734375" customWidth="1"/>
    <col min="2" max="2" width="19.88671875" customWidth="1"/>
  </cols>
  <sheetData>
    <row r="1" spans="1:2" ht="23.4" x14ac:dyDescent="0.45">
      <c r="A1" s="1" t="s">
        <v>31</v>
      </c>
    </row>
    <row r="3" spans="1:2" ht="16.8" x14ac:dyDescent="0.3">
      <c r="A3" s="7" t="s">
        <v>9</v>
      </c>
    </row>
    <row r="4" spans="1:2" ht="16.8" x14ac:dyDescent="0.3">
      <c r="A4" s="7">
        <v>5</v>
      </c>
    </row>
    <row r="5" spans="1:2" ht="16.8" x14ac:dyDescent="0.3">
      <c r="A5" s="7">
        <v>32</v>
      </c>
    </row>
    <row r="6" spans="1:2" ht="16.8" x14ac:dyDescent="0.3">
      <c r="A6" s="7" t="s">
        <v>10</v>
      </c>
    </row>
    <row r="7" spans="1:2" ht="16.8" x14ac:dyDescent="0.3">
      <c r="A7" s="7" t="s">
        <v>11</v>
      </c>
    </row>
    <row r="8" spans="1:2" ht="16.8" x14ac:dyDescent="0.3">
      <c r="A8" s="9">
        <v>42517</v>
      </c>
    </row>
    <row r="9" spans="1:2" ht="16.8" x14ac:dyDescent="0.3">
      <c r="A9" s="7" t="s">
        <v>12</v>
      </c>
    </row>
    <row r="10" spans="1:2" ht="16.8" x14ac:dyDescent="0.4">
      <c r="A10" s="5"/>
    </row>
    <row r="11" spans="1:2" ht="16.8" x14ac:dyDescent="0.4">
      <c r="A11" s="5"/>
    </row>
    <row r="12" spans="1:2" ht="16.8" x14ac:dyDescent="0.4">
      <c r="A12" s="5"/>
    </row>
    <row r="14" spans="1:2" ht="16.8" x14ac:dyDescent="0.3">
      <c r="A14" s="10" t="s">
        <v>14</v>
      </c>
      <c r="B14" s="8" t="str">
        <f ca="1">_xlfn.FORMULATEXT(B15)</f>
        <v>=COUNT(A4:A12)</v>
      </c>
    </row>
    <row r="15" spans="1:2" ht="16.8" x14ac:dyDescent="0.3">
      <c r="A15" s="10" t="s">
        <v>13</v>
      </c>
      <c r="B15" s="13">
        <f>COUNT(A4:A12)</f>
        <v>3</v>
      </c>
    </row>
    <row r="17" spans="1:1" ht="16.8" x14ac:dyDescent="0.4">
      <c r="A17" s="3" t="s">
        <v>33</v>
      </c>
    </row>
  </sheetData>
  <dataValidations count="1">
    <dataValidation allowBlank="1" showInputMessage="1" showErrorMessage="1" promptTitle="COUNT function" prompt="Enter numerical values in the highlighted cells and watch the Output change." sqref="A11:A12" xr:uid="{00000000-0002-0000-0400-000000000000}"/>
  </dataValidations>
  <hyperlinks>
    <hyperlink ref="A17" r:id="rId1" xr:uid="{00000000-0004-0000-0400-000000000000}"/>
  </hyperlinks>
  <pageMargins left="0.7" right="0.7" top="0.75" bottom="0.75" header="0.3" footer="0.3"/>
  <pageSetup orientation="portrait" horizontalDpi="360" verticalDpi="360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showGridLines="0" topLeftCell="A6" workbookViewId="0">
      <selection activeCell="E10" sqref="E10"/>
    </sheetView>
  </sheetViews>
  <sheetFormatPr defaultRowHeight="14.4" x14ac:dyDescent="0.3"/>
  <cols>
    <col min="1" max="1" width="27.44140625" customWidth="1"/>
    <col min="2" max="2" width="18.88671875" customWidth="1"/>
    <col min="3" max="3" width="10.77734375" customWidth="1"/>
  </cols>
  <sheetData>
    <row r="1" spans="1:3" ht="23.4" x14ac:dyDescent="0.45">
      <c r="A1" s="1" t="s">
        <v>53</v>
      </c>
    </row>
    <row r="3" spans="1:3" ht="15" x14ac:dyDescent="0.35">
      <c r="A3" s="18" t="s">
        <v>43</v>
      </c>
      <c r="B3" s="18" t="s">
        <v>44</v>
      </c>
    </row>
    <row r="4" spans="1:3" ht="16.8" x14ac:dyDescent="0.4">
      <c r="A4" s="25" t="s">
        <v>45</v>
      </c>
      <c r="B4" s="25">
        <v>15000</v>
      </c>
    </row>
    <row r="5" spans="1:3" ht="16.8" x14ac:dyDescent="0.4">
      <c r="A5" s="25" t="s">
        <v>45</v>
      </c>
      <c r="B5" s="25">
        <v>9000</v>
      </c>
    </row>
    <row r="6" spans="1:3" ht="16.8" x14ac:dyDescent="0.4">
      <c r="A6" s="25" t="s">
        <v>46</v>
      </c>
      <c r="B6" s="25">
        <v>8000</v>
      </c>
    </row>
    <row r="7" spans="1:3" ht="16.8" x14ac:dyDescent="0.4">
      <c r="A7" s="25" t="s">
        <v>46</v>
      </c>
      <c r="B7" s="25">
        <v>20000</v>
      </c>
    </row>
    <row r="8" spans="1:3" ht="16.8" x14ac:dyDescent="0.4">
      <c r="A8" s="25" t="s">
        <v>45</v>
      </c>
      <c r="B8" s="25">
        <v>5000</v>
      </c>
    </row>
    <row r="9" spans="1:3" ht="16.8" x14ac:dyDescent="0.4">
      <c r="A9" s="25" t="s">
        <v>47</v>
      </c>
      <c r="B9" s="25">
        <v>22500</v>
      </c>
    </row>
    <row r="10" spans="1:3" ht="16.8" x14ac:dyDescent="0.4">
      <c r="A10" s="25"/>
      <c r="B10" s="25"/>
    </row>
    <row r="11" spans="1:3" ht="16.8" x14ac:dyDescent="0.4">
      <c r="A11" s="19" t="s">
        <v>48</v>
      </c>
      <c r="B11" s="11" t="s">
        <v>49</v>
      </c>
      <c r="C11" s="20" t="s">
        <v>13</v>
      </c>
    </row>
    <row r="12" spans="1:3" ht="43.8" customHeight="1" x14ac:dyDescent="0.4">
      <c r="A12" s="21" t="str">
        <f ca="1">_xlfn.FORMULATEXT(C12)</f>
        <v>=COUNTIF(A4:A9,"Buchanan")</v>
      </c>
      <c r="B12" s="23" t="s">
        <v>50</v>
      </c>
      <c r="C12" s="22">
        <f>COUNTIF(A4:A9,"Buchanan")</f>
        <v>3</v>
      </c>
    </row>
    <row r="13" spans="1:3" ht="33.6" x14ac:dyDescent="0.4">
      <c r="A13" s="21" t="str">
        <f ca="1">_xlfn.FORMULATEXT(C13)</f>
        <v>=COUNTIF(A4:A9,A6)</v>
      </c>
      <c r="B13" s="23" t="s">
        <v>54</v>
      </c>
      <c r="C13" s="22">
        <f>COUNTIF(A4:A9,A6)</f>
        <v>2</v>
      </c>
    </row>
    <row r="14" spans="1:3" ht="57" customHeight="1" x14ac:dyDescent="0.4">
      <c r="A14" s="21" t="str">
        <f ca="1">_xlfn.FORMULATEXT(C14)</f>
        <v>=COUNTIF(B4:B9,"&lt; 20000")</v>
      </c>
      <c r="B14" s="23" t="s">
        <v>51</v>
      </c>
      <c r="C14" s="24">
        <f>COUNTIF(B4:B9,"&lt; 20000")</f>
        <v>4</v>
      </c>
    </row>
    <row r="15" spans="1:3" ht="54.6" customHeight="1" x14ac:dyDescent="0.4">
      <c r="A15" s="21" t="str">
        <f ca="1">_xlfn.FORMULATEXT(C15)</f>
        <v>=COUNTIF(B4:B9,"&gt;="&amp;B7)</v>
      </c>
      <c r="B15" s="23" t="s">
        <v>52</v>
      </c>
      <c r="C15" s="24">
        <f>COUNTIF(B4:B9,"&gt;="&amp;B7)</f>
        <v>2</v>
      </c>
    </row>
    <row r="16" spans="1:3" ht="67.2" x14ac:dyDescent="0.4">
      <c r="A16" s="21" t="e">
        <f ca="1">_xlfn.FORMULATEXT(C16)</f>
        <v>#N/A</v>
      </c>
      <c r="B16" s="23" t="s">
        <v>55</v>
      </c>
      <c r="C16" s="5"/>
    </row>
    <row r="22" spans="1:1" ht="33.6" x14ac:dyDescent="0.4">
      <c r="A22" s="26" t="s">
        <v>56</v>
      </c>
    </row>
  </sheetData>
  <hyperlinks>
    <hyperlink ref="A22" r:id="rId1" xr:uid="{00000000-0004-0000-0500-000000000000}"/>
  </hyperlinks>
  <pageMargins left="0.7" right="0.7" top="0.75" bottom="0.75" header="0.3" footer="0.3"/>
  <pageSetup orientation="portrait" horizontalDpi="360" verticalDpi="360" r:id="rId2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showGridLines="0" workbookViewId="0">
      <selection activeCell="E8" sqref="E8"/>
    </sheetView>
  </sheetViews>
  <sheetFormatPr defaultRowHeight="14.4" x14ac:dyDescent="0.3"/>
  <cols>
    <col min="1" max="1" width="19.109375" customWidth="1"/>
    <col min="2" max="2" width="22" customWidth="1"/>
  </cols>
  <sheetData>
    <row r="1" spans="1:2" ht="23.4" x14ac:dyDescent="0.45">
      <c r="A1" s="1" t="s">
        <v>57</v>
      </c>
    </row>
    <row r="3" spans="1:2" ht="16.8" x14ac:dyDescent="0.4">
      <c r="A3" s="50" t="s">
        <v>61</v>
      </c>
      <c r="B3" s="49" t="s">
        <v>60</v>
      </c>
    </row>
    <row r="4" spans="1:2" ht="16.8" x14ac:dyDescent="0.4">
      <c r="A4" s="29">
        <v>339</v>
      </c>
      <c r="B4" s="28">
        <v>42400</v>
      </c>
    </row>
    <row r="5" spans="1:2" ht="16.8" x14ac:dyDescent="0.4">
      <c r="A5" s="29">
        <v>270</v>
      </c>
      <c r="B5" s="28">
        <v>42429</v>
      </c>
    </row>
    <row r="6" spans="1:2" ht="16.8" x14ac:dyDescent="0.4">
      <c r="A6" s="29">
        <v>314</v>
      </c>
      <c r="B6" s="28">
        <v>42460</v>
      </c>
    </row>
    <row r="7" spans="1:2" ht="16.8" x14ac:dyDescent="0.4">
      <c r="A7" s="29">
        <v>422</v>
      </c>
      <c r="B7" s="28">
        <v>42490</v>
      </c>
    </row>
    <row r="8" spans="1:2" ht="16.8" x14ac:dyDescent="0.4">
      <c r="A8" s="29">
        <v>336</v>
      </c>
      <c r="B8" s="28" t="s">
        <v>62</v>
      </c>
    </row>
    <row r="9" spans="1:2" ht="16.8" x14ac:dyDescent="0.4">
      <c r="A9" s="29">
        <v>405</v>
      </c>
      <c r="B9" s="28">
        <v>42551</v>
      </c>
    </row>
    <row r="10" spans="1:2" x14ac:dyDescent="0.3">
      <c r="B10" s="27"/>
    </row>
    <row r="11" spans="1:2" ht="16.8" x14ac:dyDescent="0.4">
      <c r="A11" s="32" t="s">
        <v>61</v>
      </c>
      <c r="B11" s="33" t="s">
        <v>60</v>
      </c>
    </row>
    <row r="12" spans="1:2" ht="16.8" x14ac:dyDescent="0.3">
      <c r="A12" s="34" t="s">
        <v>59</v>
      </c>
      <c r="B12" s="35" t="s">
        <v>58</v>
      </c>
    </row>
    <row r="13" spans="1:2" x14ac:dyDescent="0.3">
      <c r="B13" s="27"/>
    </row>
    <row r="14" spans="1:2" ht="16.8" x14ac:dyDescent="0.4">
      <c r="A14" s="11" t="s">
        <v>14</v>
      </c>
      <c r="B14" s="36" t="str">
        <f ca="1">_xlfn.FORMULATEXT(B15)</f>
        <v>=DCOUNT(A3:B9,"Month ending",A11:B12)</v>
      </c>
    </row>
    <row r="15" spans="1:2" ht="16.8" x14ac:dyDescent="0.4">
      <c r="A15" s="11" t="s">
        <v>13</v>
      </c>
      <c r="B15" s="29">
        <f>DCOUNT(A3:B9,"Month ending",A11:B12)</f>
        <v>0</v>
      </c>
    </row>
    <row r="17" spans="1:1" ht="16.8" x14ac:dyDescent="0.4">
      <c r="A17" s="3" t="s">
        <v>87</v>
      </c>
    </row>
  </sheetData>
  <hyperlinks>
    <hyperlink ref="A17" r:id="rId1" xr:uid="{00000000-0004-0000-0600-000000000000}"/>
  </hyperlinks>
  <pageMargins left="0.7" right="0.7" top="0.75" bottom="0.75" header="0.3" footer="0.3"/>
  <pageSetup orientation="portrait" horizontalDpi="360" verticalDpi="360"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showGridLines="0" workbookViewId="0">
      <selection activeCell="A22" sqref="A22"/>
    </sheetView>
  </sheetViews>
  <sheetFormatPr defaultRowHeight="14.4" x14ac:dyDescent="0.3"/>
  <cols>
    <col min="1" max="1" width="18.88671875" customWidth="1"/>
    <col min="2" max="2" width="19.77734375" customWidth="1"/>
    <col min="3" max="3" width="14.33203125" customWidth="1"/>
  </cols>
  <sheetData>
    <row r="1" spans="1:3" ht="23.4" x14ac:dyDescent="0.45">
      <c r="A1" s="1" t="s">
        <v>70</v>
      </c>
    </row>
    <row r="3" spans="1:3" ht="16.8" x14ac:dyDescent="0.4">
      <c r="A3" s="16" t="s">
        <v>63</v>
      </c>
      <c r="B3" s="29" t="s">
        <v>64</v>
      </c>
      <c r="C3" s="37" t="s">
        <v>65</v>
      </c>
    </row>
    <row r="4" spans="1:3" ht="16.8" x14ac:dyDescent="0.4">
      <c r="A4" s="29">
        <v>20552</v>
      </c>
      <c r="B4" s="36" t="s">
        <v>18</v>
      </c>
      <c r="C4" s="38">
        <v>2</v>
      </c>
    </row>
    <row r="5" spans="1:3" ht="16.8" x14ac:dyDescent="0.4">
      <c r="A5" s="29">
        <v>21268</v>
      </c>
      <c r="B5" s="36" t="s">
        <v>66</v>
      </c>
      <c r="C5" s="29">
        <v>2</v>
      </c>
    </row>
    <row r="6" spans="1:3" ht="16.8" x14ac:dyDescent="0.4">
      <c r="A6" s="29">
        <v>23949</v>
      </c>
      <c r="B6" s="36" t="s">
        <v>67</v>
      </c>
      <c r="C6" s="29">
        <v>1</v>
      </c>
    </row>
    <row r="7" spans="1:3" ht="16.8" x14ac:dyDescent="0.4">
      <c r="A7" s="29">
        <v>24522</v>
      </c>
      <c r="B7" s="36" t="s">
        <v>67</v>
      </c>
      <c r="C7" s="38">
        <v>4</v>
      </c>
    </row>
    <row r="8" spans="1:3" ht="16.8" x14ac:dyDescent="0.4">
      <c r="A8" s="29">
        <v>28010</v>
      </c>
      <c r="B8" s="36" t="s">
        <v>68</v>
      </c>
      <c r="C8" s="29">
        <v>3</v>
      </c>
    </row>
    <row r="9" spans="1:3" ht="16.8" x14ac:dyDescent="0.4">
      <c r="A9" s="29">
        <v>29546</v>
      </c>
      <c r="B9" s="36" t="s">
        <v>18</v>
      </c>
      <c r="C9" s="38">
        <v>4</v>
      </c>
    </row>
    <row r="10" spans="1:3" ht="16.8" x14ac:dyDescent="0.4">
      <c r="A10" s="29">
        <v>31634</v>
      </c>
      <c r="B10" s="36" t="s">
        <v>68</v>
      </c>
      <c r="C10" s="38">
        <v>3</v>
      </c>
    </row>
    <row r="11" spans="1:3" ht="16.8" x14ac:dyDescent="0.4">
      <c r="A11" s="29">
        <v>32131</v>
      </c>
      <c r="B11" s="36" t="s">
        <v>69</v>
      </c>
      <c r="C11" s="29">
        <v>1</v>
      </c>
    </row>
    <row r="12" spans="1:3" ht="16.8" x14ac:dyDescent="0.4">
      <c r="A12" s="29">
        <v>35106</v>
      </c>
      <c r="B12" s="36" t="s">
        <v>66</v>
      </c>
      <c r="C12" s="29">
        <v>4</v>
      </c>
    </row>
    <row r="13" spans="1:3" ht="16.8" x14ac:dyDescent="0.4">
      <c r="A13" s="29">
        <v>40499</v>
      </c>
      <c r="B13" s="37" t="s">
        <v>68</v>
      </c>
      <c r="C13" s="29">
        <v>2</v>
      </c>
    </row>
    <row r="14" spans="1:3" ht="16.8" x14ac:dyDescent="0.4">
      <c r="A14" s="29">
        <v>42051</v>
      </c>
      <c r="B14" s="37" t="s">
        <v>69</v>
      </c>
      <c r="C14" s="29">
        <v>1</v>
      </c>
    </row>
    <row r="15" spans="1:3" ht="16.8" x14ac:dyDescent="0.4">
      <c r="A15" s="29">
        <v>43068</v>
      </c>
      <c r="B15" s="36" t="s">
        <v>66</v>
      </c>
      <c r="C15" s="29">
        <v>3</v>
      </c>
    </row>
    <row r="16" spans="1:3" ht="16.8" x14ac:dyDescent="0.4">
      <c r="A16" s="29">
        <v>45382</v>
      </c>
      <c r="B16" s="36" t="s">
        <v>68</v>
      </c>
      <c r="C16" s="29">
        <v>3</v>
      </c>
    </row>
    <row r="17" spans="1:3" ht="16.8" x14ac:dyDescent="0.4">
      <c r="A17" s="29">
        <v>47971</v>
      </c>
      <c r="B17" s="36" t="s">
        <v>66</v>
      </c>
      <c r="C17" s="29">
        <v>2</v>
      </c>
    </row>
    <row r="19" spans="1:3" ht="16.8" x14ac:dyDescent="0.4">
      <c r="A19" s="51" t="s">
        <v>14</v>
      </c>
      <c r="B19" s="52"/>
      <c r="C19" s="15" t="s">
        <v>13</v>
      </c>
    </row>
    <row r="20" spans="1:3" ht="16.8" x14ac:dyDescent="0.4">
      <c r="A20" s="53" t="str">
        <f ca="1">_xlfn.FORMULATEXT(C20)</f>
        <v>=COUNTIFS(C4:C17, "2",B4:B17, "Finance")</v>
      </c>
      <c r="B20" s="53"/>
      <c r="C20" s="29">
        <f>COUNTIFS(C4:C17, "2",B4:B17, "Finance")</f>
        <v>2</v>
      </c>
    </row>
    <row r="22" spans="1:3" ht="16.8" x14ac:dyDescent="0.4">
      <c r="A22" s="3" t="s">
        <v>88</v>
      </c>
    </row>
  </sheetData>
  <mergeCells count="2">
    <mergeCell ref="A19:B19"/>
    <mergeCell ref="A20:B20"/>
  </mergeCells>
  <hyperlinks>
    <hyperlink ref="A22" r:id="rId1" xr:uid="{00000000-0004-0000-0700-000000000000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showGridLines="0" workbookViewId="0">
      <selection activeCell="G11" sqref="G11"/>
    </sheetView>
  </sheetViews>
  <sheetFormatPr defaultRowHeight="14.4" x14ac:dyDescent="0.3"/>
  <cols>
    <col min="1" max="1" width="15.77734375" customWidth="1"/>
    <col min="2" max="2" width="18.21875" customWidth="1"/>
    <col min="3" max="3" width="12.5546875" customWidth="1"/>
    <col min="4" max="4" width="14.44140625" customWidth="1"/>
  </cols>
  <sheetData>
    <row r="1" spans="1:5" ht="23.4" x14ac:dyDescent="0.45">
      <c r="A1" s="1" t="s">
        <v>71</v>
      </c>
    </row>
    <row r="3" spans="1:5" ht="16.8" x14ac:dyDescent="0.4">
      <c r="A3" s="29" t="s">
        <v>72</v>
      </c>
      <c r="B3" s="29" t="s">
        <v>43</v>
      </c>
      <c r="C3" s="29" t="s">
        <v>73</v>
      </c>
      <c r="D3" s="29" t="s">
        <v>18</v>
      </c>
      <c r="E3" s="16"/>
    </row>
    <row r="4" spans="1:5" ht="16.8" x14ac:dyDescent="0.4">
      <c r="A4" s="29" t="s">
        <v>74</v>
      </c>
      <c r="B4" s="29" t="s">
        <v>45</v>
      </c>
      <c r="C4" s="29" t="s">
        <v>75</v>
      </c>
      <c r="D4" s="29">
        <v>3571</v>
      </c>
      <c r="E4" s="16"/>
    </row>
    <row r="5" spans="1:5" ht="16.8" x14ac:dyDescent="0.4">
      <c r="A5" s="29" t="s">
        <v>76</v>
      </c>
      <c r="B5" s="29" t="s">
        <v>77</v>
      </c>
      <c r="C5" s="29" t="s">
        <v>78</v>
      </c>
      <c r="D5" s="29">
        <v>3338</v>
      </c>
      <c r="E5" s="16"/>
    </row>
    <row r="6" spans="1:5" ht="16.8" x14ac:dyDescent="0.4">
      <c r="A6" s="29" t="s">
        <v>79</v>
      </c>
      <c r="B6" s="29" t="s">
        <v>46</v>
      </c>
      <c r="C6" s="29" t="s">
        <v>75</v>
      </c>
      <c r="D6" s="29">
        <v>5122</v>
      </c>
      <c r="E6" s="16"/>
    </row>
    <row r="7" spans="1:5" ht="16.8" x14ac:dyDescent="0.4">
      <c r="A7" s="29" t="s">
        <v>80</v>
      </c>
      <c r="B7" s="29" t="s">
        <v>46</v>
      </c>
      <c r="C7" s="29" t="s">
        <v>78</v>
      </c>
      <c r="D7" s="29">
        <v>6239</v>
      </c>
      <c r="E7" s="16"/>
    </row>
    <row r="8" spans="1:5" ht="16.8" x14ac:dyDescent="0.4">
      <c r="A8" s="29" t="s">
        <v>74</v>
      </c>
      <c r="B8" s="29" t="s">
        <v>47</v>
      </c>
      <c r="C8" s="29" t="s">
        <v>81</v>
      </c>
      <c r="D8" s="29">
        <v>8677</v>
      </c>
      <c r="E8" s="16"/>
    </row>
    <row r="9" spans="1:5" ht="16.8" x14ac:dyDescent="0.4">
      <c r="A9" s="29" t="s">
        <v>74</v>
      </c>
      <c r="B9" s="29" t="s">
        <v>77</v>
      </c>
      <c r="C9" s="29" t="s">
        <v>82</v>
      </c>
      <c r="D9" s="29">
        <v>450</v>
      </c>
      <c r="E9" s="16"/>
    </row>
    <row r="10" spans="1:5" ht="16.8" x14ac:dyDescent="0.4">
      <c r="A10" s="29" t="s">
        <v>74</v>
      </c>
      <c r="B10" s="29" t="s">
        <v>77</v>
      </c>
      <c r="C10" s="29" t="s">
        <v>82</v>
      </c>
      <c r="D10" s="29">
        <v>7673</v>
      </c>
      <c r="E10" s="16"/>
    </row>
    <row r="11" spans="1:5" ht="16.8" x14ac:dyDescent="0.4">
      <c r="A11" s="29" t="s">
        <v>79</v>
      </c>
      <c r="B11" s="29" t="s">
        <v>46</v>
      </c>
      <c r="C11" s="29" t="s">
        <v>81</v>
      </c>
      <c r="D11" s="29">
        <v>664</v>
      </c>
      <c r="E11" s="16"/>
    </row>
    <row r="12" spans="1:5" ht="16.8" x14ac:dyDescent="0.4">
      <c r="A12" s="29" t="s">
        <v>80</v>
      </c>
      <c r="B12" s="29" t="s">
        <v>77</v>
      </c>
      <c r="C12" s="29" t="s">
        <v>81</v>
      </c>
      <c r="D12" s="29">
        <v>1500</v>
      </c>
      <c r="E12" s="16"/>
    </row>
    <row r="13" spans="1:5" ht="16.8" x14ac:dyDescent="0.4">
      <c r="A13" s="29" t="s">
        <v>74</v>
      </c>
      <c r="B13" s="29" t="s">
        <v>47</v>
      </c>
      <c r="C13" s="29" t="s">
        <v>82</v>
      </c>
      <c r="D13" s="29">
        <v>6596</v>
      </c>
      <c r="E13" s="16"/>
    </row>
    <row r="14" spans="1:5" ht="16.8" x14ac:dyDescent="0.4">
      <c r="A14" s="29"/>
      <c r="B14" s="29"/>
      <c r="C14" s="29"/>
      <c r="D14" s="29"/>
      <c r="E14" s="16"/>
    </row>
    <row r="15" spans="1:5" ht="16.8" x14ac:dyDescent="0.4">
      <c r="A15" s="40" t="s">
        <v>14</v>
      </c>
      <c r="B15" s="54" t="str">
        <f ca="1">_xlfn.FORMULATEXT(B17)</f>
        <v>{=COUNT(IF((A4:A13="South")*(C4:C13="Meat"),D4:D13))}</v>
      </c>
      <c r="C15" s="54"/>
      <c r="D15" s="54"/>
      <c r="E15" s="54"/>
    </row>
    <row r="16" spans="1:5" ht="16.8" x14ac:dyDescent="0.4">
      <c r="A16" s="40" t="s">
        <v>49</v>
      </c>
      <c r="B16" s="54" t="s">
        <v>83</v>
      </c>
      <c r="C16" s="54"/>
      <c r="D16" s="54"/>
      <c r="E16" s="54"/>
    </row>
    <row r="17" spans="1:5" ht="16.8" x14ac:dyDescent="0.4">
      <c r="A17" s="40" t="s">
        <v>13</v>
      </c>
      <c r="B17" s="41">
        <f t="array" ref="B17">COUNT(IF((A4:A13="South")*(C4:C13="Meat"),D4:D13))</f>
        <v>3</v>
      </c>
      <c r="C17" s="42"/>
      <c r="D17" s="42"/>
      <c r="E17" s="42"/>
    </row>
    <row r="18" spans="1:5" ht="16.8" x14ac:dyDescent="0.4">
      <c r="A18" s="43"/>
      <c r="B18" s="16"/>
      <c r="C18" s="16"/>
      <c r="D18" s="16"/>
      <c r="E18" s="16"/>
    </row>
    <row r="19" spans="1:5" ht="16.8" x14ac:dyDescent="0.4">
      <c r="A19" s="40" t="s">
        <v>14</v>
      </c>
      <c r="B19" s="54" t="str">
        <f ca="1">_xlfn.FORMULATEXT(B21)</f>
        <v>{=COUNT(IF((B4:B13="Suyama")*(D4:D13&gt;=1000),D4:D13))}</v>
      </c>
      <c r="C19" s="54"/>
      <c r="D19" s="54"/>
      <c r="E19" s="54"/>
    </row>
    <row r="20" spans="1:5" ht="16.8" x14ac:dyDescent="0.4">
      <c r="A20" s="40" t="s">
        <v>49</v>
      </c>
      <c r="B20" s="54" t="s">
        <v>84</v>
      </c>
      <c r="C20" s="54"/>
      <c r="D20" s="54"/>
      <c r="E20" s="54"/>
    </row>
    <row r="21" spans="1:5" ht="16.8" x14ac:dyDescent="0.4">
      <c r="A21" s="40" t="s">
        <v>13</v>
      </c>
      <c r="B21" s="22">
        <f t="array" ref="B21">COUNT(IF((B4:B13="Suyama")*(D4:D13&gt;=1000),D4:D13))</f>
        <v>2</v>
      </c>
      <c r="C21" s="42"/>
      <c r="D21" s="42"/>
      <c r="E21" s="42"/>
    </row>
    <row r="23" spans="1:5" ht="16.8" x14ac:dyDescent="0.4">
      <c r="A23" s="3" t="s">
        <v>89</v>
      </c>
    </row>
  </sheetData>
  <mergeCells count="4">
    <mergeCell ref="B15:E15"/>
    <mergeCell ref="B16:E16"/>
    <mergeCell ref="B19:E19"/>
    <mergeCell ref="B20:E20"/>
  </mergeCells>
  <hyperlinks>
    <hyperlink ref="A23" r:id="rId1" xr:uid="{00000000-0004-0000-0800-000000000000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showGridLines="0" workbookViewId="0">
      <selection activeCell="R33" sqref="R33"/>
    </sheetView>
  </sheetViews>
  <sheetFormatPr defaultRowHeight="14.4" x14ac:dyDescent="0.3"/>
  <cols>
    <col min="1" max="1" width="15.77734375" customWidth="1"/>
    <col min="2" max="2" width="18.21875" customWidth="1"/>
    <col min="3" max="3" width="12.5546875" customWidth="1"/>
    <col min="4" max="4" width="14.44140625" customWidth="1"/>
  </cols>
  <sheetData>
    <row r="1" spans="1:2" ht="23.4" x14ac:dyDescent="0.45">
      <c r="A1" s="1" t="s">
        <v>85</v>
      </c>
    </row>
    <row r="3" spans="1:2" ht="16.8" x14ac:dyDescent="0.4">
      <c r="A3" s="29" t="s">
        <v>43</v>
      </c>
      <c r="B3" s="29" t="s">
        <v>44</v>
      </c>
    </row>
    <row r="4" spans="1:2" ht="16.8" x14ac:dyDescent="0.4">
      <c r="A4" s="29" t="s">
        <v>45</v>
      </c>
      <c r="B4" s="29">
        <v>15000</v>
      </c>
    </row>
    <row r="5" spans="1:2" ht="16.8" x14ac:dyDescent="0.4">
      <c r="A5" s="29" t="s">
        <v>45</v>
      </c>
      <c r="B5" s="29">
        <v>9000</v>
      </c>
    </row>
    <row r="6" spans="1:2" ht="16.8" x14ac:dyDescent="0.4">
      <c r="A6" s="29" t="s">
        <v>46</v>
      </c>
      <c r="B6" s="29">
        <v>8000</v>
      </c>
    </row>
    <row r="7" spans="1:2" ht="16.8" x14ac:dyDescent="0.4">
      <c r="A7" s="29" t="s">
        <v>46</v>
      </c>
      <c r="B7" s="29">
        <v>20000</v>
      </c>
    </row>
    <row r="8" spans="1:2" ht="16.8" x14ac:dyDescent="0.4">
      <c r="A8" s="29" t="s">
        <v>45</v>
      </c>
      <c r="B8" s="29">
        <v>5000</v>
      </c>
    </row>
    <row r="9" spans="1:2" ht="16.8" x14ac:dyDescent="0.4">
      <c r="A9" s="29" t="s">
        <v>47</v>
      </c>
      <c r="B9" s="29">
        <v>22500</v>
      </c>
    </row>
    <row r="10" spans="1:2" ht="17.399999999999999" thickBot="1" x14ac:dyDescent="0.45">
      <c r="A10" s="16"/>
      <c r="B10" s="16"/>
    </row>
    <row r="11" spans="1:2" ht="51.6" thickTop="1" thickBot="1" x14ac:dyDescent="0.45">
      <c r="A11" s="32" t="s">
        <v>86</v>
      </c>
      <c r="B11" s="44">
        <f t="array" ref="B11">SUM(IF((A4:A9="Buchanan")+(A4:A9="Dodsworth"),1,0))</f>
        <v>4</v>
      </c>
    </row>
    <row r="12" spans="1:2" ht="16.8" x14ac:dyDescent="0.4">
      <c r="A12" s="32"/>
      <c r="B12" s="32"/>
    </row>
    <row r="14" spans="1:2" ht="16.8" x14ac:dyDescent="0.4">
      <c r="A14" s="3" t="s">
        <v>89</v>
      </c>
    </row>
  </sheetData>
  <hyperlinks>
    <hyperlink ref="A14" r:id="rId1" xr:uid="{00000000-0004-0000-0900-000000000000}"/>
  </hyperlinks>
  <pageMargins left="0.7" right="0.7" top="0.75" bottom="0.75" header="0.3" footer="0.3"/>
  <pageSetup orientation="portrait" horizontalDpi="360" verticalDpi="360" r:id="rId2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showGridLines="0" workbookViewId="0">
      <selection sqref="A1:C8"/>
    </sheetView>
  </sheetViews>
  <sheetFormatPr defaultRowHeight="14.4" x14ac:dyDescent="0.3"/>
  <sheetData>
    <row r="1" spans="1:11" ht="16.8" x14ac:dyDescent="0.4">
      <c r="A1" s="16" t="s">
        <v>16</v>
      </c>
      <c r="B1" s="16" t="s">
        <v>17</v>
      </c>
      <c r="C1" s="16" t="s">
        <v>18</v>
      </c>
      <c r="K1" s="3" t="s">
        <v>90</v>
      </c>
    </row>
    <row r="2" spans="1:11" ht="16.8" x14ac:dyDescent="0.4">
      <c r="A2" s="16" t="s">
        <v>19</v>
      </c>
      <c r="B2" s="16" t="s">
        <v>20</v>
      </c>
      <c r="C2" s="45">
        <v>1500</v>
      </c>
    </row>
    <row r="3" spans="1:11" ht="16.8" x14ac:dyDescent="0.4">
      <c r="A3" s="16" t="s">
        <v>19</v>
      </c>
      <c r="B3" s="16" t="s">
        <v>21</v>
      </c>
      <c r="C3" s="45">
        <v>2000</v>
      </c>
    </row>
    <row r="4" spans="1:11" ht="16.8" x14ac:dyDescent="0.4">
      <c r="A4" s="16" t="s">
        <v>22</v>
      </c>
      <c r="B4" s="16" t="s">
        <v>20</v>
      </c>
      <c r="C4" s="45">
        <v>600</v>
      </c>
    </row>
    <row r="5" spans="1:11" ht="16.8" x14ac:dyDescent="0.4">
      <c r="A5" s="16" t="s">
        <v>22</v>
      </c>
      <c r="B5" s="16" t="s">
        <v>21</v>
      </c>
      <c r="C5" s="45">
        <v>1500</v>
      </c>
    </row>
    <row r="6" spans="1:11" ht="16.8" x14ac:dyDescent="0.4">
      <c r="A6" s="16" t="s">
        <v>22</v>
      </c>
      <c r="B6" s="16" t="s">
        <v>20</v>
      </c>
      <c r="C6" s="45">
        <v>4070</v>
      </c>
    </row>
    <row r="7" spans="1:11" ht="16.8" x14ac:dyDescent="0.4">
      <c r="A7" s="16" t="s">
        <v>22</v>
      </c>
      <c r="B7" s="16" t="s">
        <v>21</v>
      </c>
      <c r="C7" s="45">
        <v>5000</v>
      </c>
    </row>
    <row r="8" spans="1:11" ht="16.8" x14ac:dyDescent="0.4">
      <c r="A8" s="16" t="s">
        <v>19</v>
      </c>
      <c r="B8" s="16" t="s">
        <v>20</v>
      </c>
      <c r="C8" s="45">
        <v>6430</v>
      </c>
    </row>
    <row r="25" spans="12:12" ht="16.8" x14ac:dyDescent="0.4">
      <c r="L25" s="16"/>
    </row>
  </sheetData>
  <hyperlinks>
    <hyperlink ref="K1" r:id="rId1" xr:uid="{00000000-0004-0000-0A00-000000000000}"/>
  </hyperlinks>
  <pageMargins left="0.7" right="0.7" top="0.75" bottom="0.75" header="0.3" footer="0.3"/>
  <pageSetup orientation="portrait" horizontalDpi="360" verticalDpi="360" r:id="rId2"/>
  <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showGridLines="0" workbookViewId="0">
      <selection activeCell="A19" sqref="A19"/>
    </sheetView>
  </sheetViews>
  <sheetFormatPr defaultRowHeight="14.4" x14ac:dyDescent="0.3"/>
  <cols>
    <col min="1" max="1" width="13.44140625" customWidth="1"/>
    <col min="2" max="2" width="17.88671875" customWidth="1"/>
    <col min="3" max="3" width="11" customWidth="1"/>
    <col min="4" max="4" width="11.44140625" customWidth="1"/>
  </cols>
  <sheetData>
    <row r="1" spans="1:4" ht="23.4" x14ac:dyDescent="0.45">
      <c r="A1" s="1" t="s">
        <v>91</v>
      </c>
    </row>
    <row r="3" spans="1:4" ht="16.8" x14ac:dyDescent="0.4">
      <c r="A3" s="29" t="s">
        <v>72</v>
      </c>
      <c r="B3" s="29" t="s">
        <v>43</v>
      </c>
      <c r="C3" s="29" t="s">
        <v>73</v>
      </c>
      <c r="D3" s="29" t="s">
        <v>18</v>
      </c>
    </row>
    <row r="4" spans="1:4" ht="16.8" x14ac:dyDescent="0.4">
      <c r="A4" s="29" t="s">
        <v>74</v>
      </c>
      <c r="B4" s="29" t="s">
        <v>45</v>
      </c>
      <c r="C4" s="29" t="s">
        <v>75</v>
      </c>
      <c r="D4" s="29">
        <v>3571</v>
      </c>
    </row>
    <row r="5" spans="1:4" ht="16.8" x14ac:dyDescent="0.4">
      <c r="A5" s="29" t="s">
        <v>76</v>
      </c>
      <c r="B5" s="29" t="s">
        <v>77</v>
      </c>
      <c r="C5" s="29" t="s">
        <v>78</v>
      </c>
      <c r="D5" s="29"/>
    </row>
    <row r="6" spans="1:4" ht="16.8" x14ac:dyDescent="0.4">
      <c r="A6" s="29" t="s">
        <v>79</v>
      </c>
      <c r="B6" s="29" t="s">
        <v>46</v>
      </c>
      <c r="C6" s="29" t="s">
        <v>75</v>
      </c>
      <c r="D6" s="29">
        <v>5122</v>
      </c>
    </row>
    <row r="7" spans="1:4" ht="16.8" x14ac:dyDescent="0.4">
      <c r="A7" s="29" t="s">
        <v>80</v>
      </c>
      <c r="B7" s="29" t="s">
        <v>46</v>
      </c>
      <c r="C7" s="29" t="s">
        <v>78</v>
      </c>
      <c r="D7" s="29"/>
    </row>
    <row r="8" spans="1:4" ht="16.8" x14ac:dyDescent="0.4">
      <c r="A8" s="29" t="s">
        <v>74</v>
      </c>
      <c r="B8" s="29" t="s">
        <v>47</v>
      </c>
      <c r="C8" s="29" t="s">
        <v>81</v>
      </c>
      <c r="D8" s="29">
        <v>8677</v>
      </c>
    </row>
    <row r="9" spans="1:4" ht="16.8" x14ac:dyDescent="0.4">
      <c r="A9" s="29" t="s">
        <v>74</v>
      </c>
      <c r="B9" s="29" t="s">
        <v>77</v>
      </c>
      <c r="C9" s="29" t="s">
        <v>82</v>
      </c>
      <c r="D9" s="29">
        <v>450</v>
      </c>
    </row>
    <row r="10" spans="1:4" ht="16.8" x14ac:dyDescent="0.4">
      <c r="A10" s="29" t="s">
        <v>74</v>
      </c>
      <c r="B10" s="29" t="s">
        <v>77</v>
      </c>
      <c r="C10" s="29" t="s">
        <v>82</v>
      </c>
      <c r="D10" s="29"/>
    </row>
    <row r="11" spans="1:4" ht="16.8" x14ac:dyDescent="0.4">
      <c r="A11" s="29" t="s">
        <v>79</v>
      </c>
      <c r="B11" s="29" t="s">
        <v>46</v>
      </c>
      <c r="C11" s="29" t="s">
        <v>81</v>
      </c>
      <c r="D11" s="29">
        <v>664</v>
      </c>
    </row>
    <row r="12" spans="1:4" ht="16.8" x14ac:dyDescent="0.4">
      <c r="A12" s="29" t="s">
        <v>80</v>
      </c>
      <c r="B12" s="29" t="s">
        <v>77</v>
      </c>
      <c r="C12" s="29" t="s">
        <v>81</v>
      </c>
      <c r="D12" s="29">
        <v>1500</v>
      </c>
    </row>
    <row r="13" spans="1:4" ht="16.8" x14ac:dyDescent="0.4">
      <c r="A13" s="29" t="s">
        <v>74</v>
      </c>
      <c r="B13" s="29" t="s">
        <v>47</v>
      </c>
      <c r="C13" s="29" t="s">
        <v>82</v>
      </c>
      <c r="D13" s="29"/>
    </row>
    <row r="14" spans="1:4" ht="16.8" x14ac:dyDescent="0.4">
      <c r="A14" s="29"/>
      <c r="B14" s="29"/>
      <c r="C14" s="29"/>
      <c r="D14" s="29"/>
    </row>
    <row r="15" spans="1:4" ht="16.8" x14ac:dyDescent="0.4">
      <c r="A15" s="16"/>
      <c r="B15" s="16"/>
      <c r="C15" s="16"/>
      <c r="D15" s="16"/>
    </row>
    <row r="16" spans="1:4" ht="16.8" x14ac:dyDescent="0.4">
      <c r="A16" s="11" t="s">
        <v>14</v>
      </c>
      <c r="B16" s="16" t="str">
        <f ca="1">_xlfn.FORMULATEXT(B17)</f>
        <v>=COUNTA(D4:D13)</v>
      </c>
      <c r="C16" s="16"/>
      <c r="D16" s="16"/>
    </row>
    <row r="17" spans="1:4" ht="16.8" x14ac:dyDescent="0.4">
      <c r="A17" s="11" t="s">
        <v>13</v>
      </c>
      <c r="B17" s="29">
        <f>COUNTA(D4:D13)</f>
        <v>6</v>
      </c>
      <c r="C17" s="16"/>
      <c r="D17" s="16"/>
    </row>
    <row r="19" spans="1:4" ht="16.8" x14ac:dyDescent="0.4">
      <c r="A19" s="3" t="s">
        <v>117</v>
      </c>
    </row>
  </sheetData>
  <hyperlinks>
    <hyperlink ref="A19" r:id="rId1" xr:uid="{00000000-0004-0000-0B00-000000000000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showGridLines="0" workbookViewId="0">
      <selection activeCell="B16" sqref="B16"/>
    </sheetView>
  </sheetViews>
  <sheetFormatPr defaultRowHeight="14.4" x14ac:dyDescent="0.3"/>
  <cols>
    <col min="1" max="1" width="11.21875" customWidth="1"/>
    <col min="2" max="2" width="15" customWidth="1"/>
  </cols>
  <sheetData>
    <row r="1" spans="1:5" ht="23.4" x14ac:dyDescent="0.45">
      <c r="A1" s="1" t="s">
        <v>92</v>
      </c>
    </row>
    <row r="3" spans="1:5" ht="16.8" x14ac:dyDescent="0.4">
      <c r="A3" s="29" t="s">
        <v>93</v>
      </c>
      <c r="B3" s="29" t="s">
        <v>94</v>
      </c>
      <c r="C3" s="16"/>
      <c r="D3" s="16"/>
      <c r="E3" s="16"/>
    </row>
    <row r="4" spans="1:5" ht="16.8" x14ac:dyDescent="0.4">
      <c r="A4" s="29">
        <v>2048</v>
      </c>
      <c r="B4" s="17">
        <v>61</v>
      </c>
      <c r="C4" s="16"/>
      <c r="D4" s="16"/>
      <c r="E4" s="16"/>
    </row>
    <row r="5" spans="1:5" ht="16.8" x14ac:dyDescent="0.4">
      <c r="A5" s="29">
        <v>16384</v>
      </c>
      <c r="B5" s="17"/>
      <c r="C5" s="16"/>
      <c r="D5" s="16"/>
      <c r="E5" s="16"/>
    </row>
    <row r="6" spans="1:5" ht="16.8" x14ac:dyDescent="0.4">
      <c r="A6" s="29">
        <v>35336</v>
      </c>
      <c r="B6" s="17">
        <v>83</v>
      </c>
      <c r="C6" s="16"/>
      <c r="D6" s="16"/>
      <c r="E6" s="16"/>
    </row>
    <row r="7" spans="1:5" ht="16.8" x14ac:dyDescent="0.4">
      <c r="A7" s="29">
        <v>1024</v>
      </c>
      <c r="B7" s="17">
        <v>113</v>
      </c>
      <c r="C7" s="16"/>
      <c r="D7" s="16"/>
      <c r="E7" s="16"/>
    </row>
    <row r="8" spans="1:5" ht="16.8" x14ac:dyDescent="0.4">
      <c r="A8" s="29">
        <v>512</v>
      </c>
      <c r="B8" s="17"/>
      <c r="C8" s="16"/>
      <c r="D8" s="16"/>
      <c r="E8" s="16"/>
    </row>
    <row r="9" spans="1:5" ht="16.8" x14ac:dyDescent="0.4">
      <c r="A9" s="29">
        <v>976</v>
      </c>
      <c r="B9" s="17">
        <v>47</v>
      </c>
      <c r="C9" s="16"/>
      <c r="D9" s="16"/>
      <c r="E9" s="16"/>
    </row>
    <row r="10" spans="1:5" ht="17.399999999999999" thickBot="1" x14ac:dyDescent="0.45">
      <c r="A10" s="16"/>
      <c r="B10" s="16"/>
      <c r="C10" s="16"/>
      <c r="D10" s="16"/>
      <c r="E10" s="16"/>
    </row>
    <row r="11" spans="1:5" ht="17.399999999999999" thickBot="1" x14ac:dyDescent="0.45">
      <c r="A11" s="39" t="s">
        <v>93</v>
      </c>
      <c r="B11" s="39" t="s">
        <v>94</v>
      </c>
      <c r="C11" s="16"/>
      <c r="D11" s="16"/>
      <c r="E11" s="16"/>
    </row>
    <row r="12" spans="1:5" ht="16.8" x14ac:dyDescent="0.4">
      <c r="A12" s="30" t="s">
        <v>95</v>
      </c>
      <c r="B12" s="31" t="s">
        <v>96</v>
      </c>
      <c r="C12" s="16"/>
      <c r="D12" s="16"/>
      <c r="E12" s="16"/>
    </row>
    <row r="13" spans="1:5" ht="16.8" x14ac:dyDescent="0.4">
      <c r="A13" s="16"/>
      <c r="B13" s="16"/>
      <c r="C13" s="16"/>
      <c r="D13" s="16"/>
      <c r="E13" s="16"/>
    </row>
    <row r="14" spans="1:5" ht="16.8" x14ac:dyDescent="0.4">
      <c r="A14" s="11" t="s">
        <v>14</v>
      </c>
      <c r="B14" s="16" t="str">
        <f ca="1">_xlfn.FORMULATEXT(B15)</f>
        <v>=DCOUNTA(A3:B9,"Ratings",A11:B12)</v>
      </c>
      <c r="C14" s="16"/>
      <c r="D14" s="16"/>
      <c r="E14" s="16"/>
    </row>
    <row r="15" spans="1:5" ht="16.8" x14ac:dyDescent="0.4">
      <c r="A15" s="11" t="s">
        <v>97</v>
      </c>
      <c r="B15" s="29">
        <f>DCOUNTA(A3:B9,"Ratings",A11:B12)</f>
        <v>2</v>
      </c>
      <c r="C15" s="16"/>
      <c r="D15" s="16"/>
      <c r="E15" s="16"/>
    </row>
    <row r="17" spans="1:1" ht="16.8" x14ac:dyDescent="0.4">
      <c r="A17" s="3" t="s">
        <v>118</v>
      </c>
    </row>
  </sheetData>
  <hyperlinks>
    <hyperlink ref="A17" r:id="rId1" xr:uid="{00000000-0004-0000-0C00-000000000000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"/>
  <sheetViews>
    <sheetView showGridLines="0" workbookViewId="0">
      <selection activeCell="B13" sqref="B13"/>
    </sheetView>
  </sheetViews>
  <sheetFormatPr defaultRowHeight="14.4" x14ac:dyDescent="0.3"/>
  <cols>
    <col min="1" max="1" width="12.5546875" customWidth="1"/>
    <col min="2" max="2" width="12.33203125" customWidth="1"/>
    <col min="3" max="3" width="20.109375" customWidth="1"/>
    <col min="4" max="4" width="16.5546875" customWidth="1"/>
  </cols>
  <sheetData>
    <row r="1" spans="1:4" ht="23.4" x14ac:dyDescent="0.45">
      <c r="A1" s="1" t="s">
        <v>110</v>
      </c>
    </row>
    <row r="3" spans="1:4" ht="16.8" x14ac:dyDescent="0.4">
      <c r="A3" s="16" t="s">
        <v>98</v>
      </c>
      <c r="B3" s="16" t="s">
        <v>99</v>
      </c>
      <c r="C3" s="16" t="s">
        <v>100</v>
      </c>
      <c r="D3" s="16" t="s">
        <v>18</v>
      </c>
    </row>
    <row r="4" spans="1:4" ht="16.8" x14ac:dyDescent="0.4">
      <c r="A4" s="16" t="s">
        <v>101</v>
      </c>
      <c r="B4" s="16" t="s">
        <v>102</v>
      </c>
      <c r="C4" s="16" t="s">
        <v>103</v>
      </c>
      <c r="D4" s="46">
        <v>2475.87</v>
      </c>
    </row>
    <row r="5" spans="1:4" ht="16.8" x14ac:dyDescent="0.4">
      <c r="A5" s="16" t="s">
        <v>104</v>
      </c>
      <c r="B5" s="16" t="s">
        <v>105</v>
      </c>
      <c r="C5" s="16" t="s">
        <v>103</v>
      </c>
      <c r="D5" s="46">
        <v>2895.9</v>
      </c>
    </row>
    <row r="6" spans="1:4" ht="16.8" x14ac:dyDescent="0.4">
      <c r="A6" s="16" t="s">
        <v>101</v>
      </c>
      <c r="B6" s="16" t="s">
        <v>102</v>
      </c>
      <c r="C6" s="16" t="s">
        <v>106</v>
      </c>
      <c r="D6" s="46"/>
    </row>
    <row r="7" spans="1:4" ht="16.8" x14ac:dyDescent="0.4">
      <c r="A7" s="16" t="s">
        <v>107</v>
      </c>
      <c r="B7" s="16" t="s">
        <v>108</v>
      </c>
      <c r="C7" s="16" t="s">
        <v>109</v>
      </c>
      <c r="D7" s="46"/>
    </row>
    <row r="8" spans="1:4" ht="16.8" x14ac:dyDescent="0.4">
      <c r="A8" s="16" t="s">
        <v>104</v>
      </c>
      <c r="B8" s="16" t="s">
        <v>105</v>
      </c>
      <c r="C8" s="16" t="s">
        <v>106</v>
      </c>
      <c r="D8" s="46">
        <v>3487.73</v>
      </c>
    </row>
    <row r="9" spans="1:4" ht="16.8" x14ac:dyDescent="0.4">
      <c r="A9" s="16" t="s">
        <v>107</v>
      </c>
      <c r="B9" s="16" t="s">
        <v>108</v>
      </c>
      <c r="C9" s="16" t="s">
        <v>106</v>
      </c>
      <c r="D9" s="46"/>
    </row>
    <row r="10" spans="1:4" ht="16.8" x14ac:dyDescent="0.4">
      <c r="A10" s="16"/>
      <c r="B10" s="16"/>
      <c r="C10" s="16"/>
      <c r="D10" s="16"/>
    </row>
    <row r="11" spans="1:4" ht="16.8" x14ac:dyDescent="0.4">
      <c r="A11" s="11" t="s">
        <v>14</v>
      </c>
      <c r="B11" s="16" t="str">
        <f ca="1">_xlfn.FORMULATEXT(B12)</f>
        <v>=COUNTBLANK(A4:D9)</v>
      </c>
      <c r="C11" s="16"/>
      <c r="D11" s="16"/>
    </row>
    <row r="12" spans="1:4" ht="16.8" x14ac:dyDescent="0.4">
      <c r="A12" s="11" t="s">
        <v>13</v>
      </c>
      <c r="B12" s="29">
        <f>COUNTBLANK(A4:D9)</f>
        <v>3</v>
      </c>
      <c r="C12" s="16"/>
      <c r="D12" s="16"/>
    </row>
    <row r="14" spans="1:4" ht="16.8" x14ac:dyDescent="0.4">
      <c r="A14" s="3" t="s">
        <v>119</v>
      </c>
    </row>
  </sheetData>
  <hyperlinks>
    <hyperlink ref="A14" r:id="rId1" xr:uid="{00000000-0004-0000-0D00-000000000000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5"/>
  <sheetViews>
    <sheetView showGridLines="0" workbookViewId="0">
      <selection activeCell="D34" sqref="D34"/>
    </sheetView>
  </sheetViews>
  <sheetFormatPr defaultRowHeight="14.4" x14ac:dyDescent="0.3"/>
  <sheetData>
    <row r="1" spans="1:2" ht="23.4" x14ac:dyDescent="0.45">
      <c r="A1" s="1" t="s">
        <v>112</v>
      </c>
    </row>
    <row r="3" spans="1:2" ht="16.8" x14ac:dyDescent="0.4">
      <c r="A3" s="37" t="s">
        <v>113</v>
      </c>
      <c r="B3" s="16" t="s">
        <v>114</v>
      </c>
    </row>
    <row r="4" spans="1:2" ht="16.8" x14ac:dyDescent="0.4">
      <c r="A4" s="37">
        <v>986</v>
      </c>
      <c r="B4" s="29" t="s">
        <v>115</v>
      </c>
    </row>
    <row r="5" spans="1:2" ht="16.8" x14ac:dyDescent="0.4">
      <c r="A5" s="37" t="s">
        <v>116</v>
      </c>
      <c r="B5" s="29">
        <v>563</v>
      </c>
    </row>
    <row r="6" spans="1:2" ht="16.8" x14ac:dyDescent="0.4">
      <c r="A6" s="37">
        <v>67</v>
      </c>
      <c r="B6" s="29">
        <v>789</v>
      </c>
    </row>
    <row r="7" spans="1:2" ht="16.8" x14ac:dyDescent="0.4">
      <c r="A7" s="37"/>
      <c r="B7" s="29">
        <v>235</v>
      </c>
    </row>
    <row r="8" spans="1:2" ht="16.8" x14ac:dyDescent="0.4">
      <c r="A8" s="37" t="s">
        <v>115</v>
      </c>
      <c r="B8" s="29" t="s">
        <v>116</v>
      </c>
    </row>
    <row r="9" spans="1:2" ht="16.8" x14ac:dyDescent="0.4">
      <c r="A9" s="37">
        <v>689</v>
      </c>
      <c r="B9" s="29">
        <v>789</v>
      </c>
    </row>
    <row r="10" spans="1:2" ht="16.8" x14ac:dyDescent="0.4">
      <c r="A10" s="37" t="s">
        <v>116</v>
      </c>
      <c r="B10" s="29">
        <v>143</v>
      </c>
    </row>
    <row r="11" spans="1:2" ht="16.8" x14ac:dyDescent="0.4">
      <c r="A11" s="37">
        <v>56</v>
      </c>
      <c r="B11" s="29">
        <v>237</v>
      </c>
    </row>
    <row r="12" spans="1:2" ht="16.8" x14ac:dyDescent="0.4">
      <c r="A12" s="37">
        <v>67</v>
      </c>
      <c r="B12" s="29">
        <v>235</v>
      </c>
    </row>
    <row r="13" spans="1:2" ht="16.8" x14ac:dyDescent="0.4">
      <c r="A13" s="16"/>
      <c r="B13" s="16"/>
    </row>
    <row r="14" spans="1:2" ht="16.8" x14ac:dyDescent="0.4">
      <c r="A14" s="11" t="s">
        <v>14</v>
      </c>
      <c r="B14" s="16" t="str">
        <f ca="1">_xlfn.FORMULATEXT(B15)</f>
        <v>{=SUM(IF(FREQUENCY(A4:A12,A4:A12)&gt;0,1))}</v>
      </c>
    </row>
    <row r="15" spans="1:2" ht="16.8" x14ac:dyDescent="0.4">
      <c r="A15" s="11" t="s">
        <v>13</v>
      </c>
      <c r="B15" s="16">
        <f t="array" ref="B15">SUM(IF(FREQUENCY(A4:A12,A4:A12)&gt;0,1))</f>
        <v>4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showGridLines="0" workbookViewId="0">
      <selection activeCell="F18" sqref="F18"/>
    </sheetView>
  </sheetViews>
  <sheetFormatPr defaultRowHeight="14.4" x14ac:dyDescent="0.3"/>
  <cols>
    <col min="1" max="1" width="15.44140625" customWidth="1"/>
    <col min="2" max="2" width="17.5546875" customWidth="1"/>
    <col min="3" max="3" width="15.44140625" customWidth="1"/>
  </cols>
  <sheetData>
    <row r="1" spans="1:3" ht="23.4" x14ac:dyDescent="0.45">
      <c r="A1" s="1" t="s">
        <v>111</v>
      </c>
    </row>
    <row r="3" spans="1:3" ht="16.8" x14ac:dyDescent="0.4">
      <c r="A3" s="16" t="s">
        <v>63</v>
      </c>
      <c r="B3" s="29" t="s">
        <v>64</v>
      </c>
      <c r="C3" s="37" t="s">
        <v>65</v>
      </c>
    </row>
    <row r="4" spans="1:3" ht="16.8" x14ac:dyDescent="0.4">
      <c r="A4" s="29">
        <v>20552</v>
      </c>
      <c r="B4" s="36" t="s">
        <v>18</v>
      </c>
      <c r="C4" s="38">
        <v>2</v>
      </c>
    </row>
    <row r="5" spans="1:3" ht="16.8" x14ac:dyDescent="0.4">
      <c r="A5" s="29">
        <v>21268</v>
      </c>
      <c r="B5" s="36" t="s">
        <v>66</v>
      </c>
      <c r="C5" s="29">
        <v>2</v>
      </c>
    </row>
    <row r="6" spans="1:3" ht="16.8" x14ac:dyDescent="0.4">
      <c r="A6" s="29">
        <v>23949</v>
      </c>
      <c r="B6" s="36" t="s">
        <v>67</v>
      </c>
      <c r="C6" s="29">
        <v>1</v>
      </c>
    </row>
    <row r="7" spans="1:3" ht="16.8" x14ac:dyDescent="0.4">
      <c r="A7" s="29">
        <v>24522</v>
      </c>
      <c r="B7" s="36" t="s">
        <v>67</v>
      </c>
      <c r="C7" s="38">
        <v>4</v>
      </c>
    </row>
    <row r="8" spans="1:3" ht="16.8" x14ac:dyDescent="0.4">
      <c r="A8" s="29">
        <v>28010</v>
      </c>
      <c r="B8" s="36" t="s">
        <v>68</v>
      </c>
      <c r="C8" s="29">
        <v>3</v>
      </c>
    </row>
    <row r="9" spans="1:3" ht="16.8" x14ac:dyDescent="0.4">
      <c r="A9" s="29">
        <v>29546</v>
      </c>
      <c r="B9" s="36" t="s">
        <v>18</v>
      </c>
      <c r="C9" s="38">
        <v>4</v>
      </c>
    </row>
    <row r="10" spans="1:3" ht="16.8" x14ac:dyDescent="0.4">
      <c r="A10" s="29">
        <v>31634</v>
      </c>
      <c r="B10" s="36" t="s">
        <v>68</v>
      </c>
      <c r="C10" s="38">
        <v>3</v>
      </c>
    </row>
    <row r="11" spans="1:3" ht="16.8" x14ac:dyDescent="0.4">
      <c r="A11" s="29">
        <v>32131</v>
      </c>
      <c r="B11" s="36" t="s">
        <v>69</v>
      </c>
      <c r="C11" s="29">
        <v>1</v>
      </c>
    </row>
    <row r="12" spans="1:3" ht="16.8" x14ac:dyDescent="0.4">
      <c r="A12" s="29">
        <v>35106</v>
      </c>
      <c r="B12" s="36" t="s">
        <v>66</v>
      </c>
      <c r="C12" s="29">
        <v>4</v>
      </c>
    </row>
    <row r="13" spans="1:3" ht="16.8" x14ac:dyDescent="0.4">
      <c r="A13" s="29">
        <v>40499</v>
      </c>
      <c r="B13" s="37" t="s">
        <v>68</v>
      </c>
      <c r="C13" s="29">
        <v>2</v>
      </c>
    </row>
    <row r="14" spans="1:3" ht="16.8" x14ac:dyDescent="0.4">
      <c r="A14" s="29">
        <v>42051</v>
      </c>
      <c r="B14" s="37" t="s">
        <v>69</v>
      </c>
      <c r="C14" s="29">
        <v>1</v>
      </c>
    </row>
    <row r="15" spans="1:3" ht="16.8" x14ac:dyDescent="0.4">
      <c r="A15" s="29">
        <v>43068</v>
      </c>
      <c r="B15" s="36" t="s">
        <v>66</v>
      </c>
      <c r="C15" s="29">
        <v>3</v>
      </c>
    </row>
    <row r="16" spans="1:3" ht="16.8" x14ac:dyDescent="0.4">
      <c r="A16" s="29">
        <v>45382</v>
      </c>
      <c r="B16" s="36" t="s">
        <v>68</v>
      </c>
      <c r="C16" s="29">
        <v>3</v>
      </c>
    </row>
    <row r="17" spans="1:3" ht="16.8" x14ac:dyDescent="0.4">
      <c r="A17" s="29">
        <v>47971</v>
      </c>
      <c r="B17" s="36" t="s">
        <v>66</v>
      </c>
      <c r="C17" s="29">
        <v>2</v>
      </c>
    </row>
    <row r="18" spans="1:3" ht="16.8" x14ac:dyDescent="0.4">
      <c r="A18" s="16"/>
      <c r="B18" s="16"/>
      <c r="C18" s="16"/>
    </row>
    <row r="19" spans="1:3" ht="16.8" x14ac:dyDescent="0.4">
      <c r="A19" s="51" t="s">
        <v>14</v>
      </c>
      <c r="B19" s="53"/>
      <c r="C19" s="15" t="s">
        <v>13</v>
      </c>
    </row>
    <row r="20" spans="1:3" ht="16.8" x14ac:dyDescent="0.4">
      <c r="A20" s="53" t="str">
        <f ca="1">_xlfn.FORMULATEXT(C20)</f>
        <v>=ROWS(A4:C17) * COLUMNS(A4:C17)</v>
      </c>
      <c r="B20" s="53"/>
      <c r="C20" s="29">
        <f>ROWS(A4:C17) * COLUMNS(A4:C17)</f>
        <v>42</v>
      </c>
    </row>
    <row r="21" spans="1:3" ht="16.8" x14ac:dyDescent="0.4">
      <c r="A21" s="16"/>
      <c r="B21" s="16"/>
      <c r="C21" s="16"/>
    </row>
  </sheetData>
  <mergeCells count="2">
    <mergeCell ref="A19:B19"/>
    <mergeCell ref="A20:B20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F13"/>
  <sheetViews>
    <sheetView showGridLines="0" workbookViewId="0">
      <selection activeCell="A27" sqref="A27"/>
    </sheetView>
  </sheetViews>
  <sheetFormatPr defaultRowHeight="14.4" x14ac:dyDescent="0.3"/>
  <cols>
    <col min="1" max="1" width="34.5546875" customWidth="1"/>
  </cols>
  <sheetData>
    <row r="2" spans="1:6" ht="23.4" x14ac:dyDescent="0.45">
      <c r="A2" s="1" t="s">
        <v>42</v>
      </c>
    </row>
    <row r="3" spans="1:6" ht="16.8" x14ac:dyDescent="0.4">
      <c r="A3" s="11" t="s">
        <v>36</v>
      </c>
    </row>
    <row r="4" spans="1:6" ht="16.8" x14ac:dyDescent="0.4">
      <c r="A4" s="2" t="s">
        <v>37</v>
      </c>
    </row>
    <row r="5" spans="1:6" ht="16.8" x14ac:dyDescent="0.4">
      <c r="A5" s="2" t="s">
        <v>38</v>
      </c>
    </row>
    <row r="6" spans="1:6" ht="16.8" x14ac:dyDescent="0.4">
      <c r="A6" s="2" t="s">
        <v>39</v>
      </c>
    </row>
    <row r="7" spans="1:6" ht="16.8" x14ac:dyDescent="0.4">
      <c r="A7" s="2" t="s">
        <v>40</v>
      </c>
    </row>
    <row r="8" spans="1:6" ht="16.8" x14ac:dyDescent="0.4">
      <c r="A8" s="2" t="s">
        <v>41</v>
      </c>
    </row>
    <row r="10" spans="1:6" ht="16.8" x14ac:dyDescent="0.4">
      <c r="A10" s="15" t="s">
        <v>14</v>
      </c>
      <c r="B10" s="2"/>
      <c r="C10" s="2"/>
      <c r="D10" s="2"/>
      <c r="E10" s="2"/>
      <c r="F10" s="2"/>
    </row>
    <row r="11" spans="1:6" ht="16.8" x14ac:dyDescent="0.4">
      <c r="A11" s="2" t="str">
        <f ca="1">_xlfn.FORMULATEXT(A13)</f>
        <v>=SUM(IF(LEN(TRIM(@A4:A8))=0,0,LEN(TRIM(@A4:A8))-LEN(SUBSTITUTE(@A4:A8," ",""))+1))</v>
      </c>
      <c r="B11" s="2"/>
      <c r="C11" s="2"/>
      <c r="D11" s="2"/>
      <c r="E11" s="2"/>
      <c r="F11" s="2"/>
    </row>
    <row r="12" spans="1:6" ht="16.8" x14ac:dyDescent="0.4">
      <c r="A12" s="15" t="s">
        <v>13</v>
      </c>
      <c r="B12" s="2"/>
      <c r="C12" s="2"/>
      <c r="D12" s="2"/>
      <c r="E12" s="2"/>
      <c r="F12" s="2"/>
    </row>
    <row r="13" spans="1:6" ht="16.8" x14ac:dyDescent="0.4">
      <c r="A13" s="14" t="e">
        <f>SUM(IF(LEN(TRIM(A4:A8))=0,0,LEN(TRIM(A4:A8))-LEN(SUBSTITUTE(A4:A8," ",""))+1))</f>
        <v>#VALUE!</v>
      </c>
      <c r="B13" s="2"/>
      <c r="C13" s="2"/>
      <c r="D13" s="2"/>
      <c r="E13" s="2"/>
      <c r="F13" s="2"/>
    </row>
  </sheetData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Count numbers with AutoSum</vt:lpstr>
      <vt:lpstr>Add subtotals</vt:lpstr>
      <vt:lpstr>SUBTOTAL function</vt:lpstr>
      <vt:lpstr>COUNT function</vt:lpstr>
      <vt:lpstr>COUNTIF function</vt:lpstr>
      <vt:lpstr>DCOUNT function</vt:lpstr>
      <vt:lpstr>COUNTIFS function</vt:lpstr>
      <vt:lpstr>Array COUNT with IF</vt:lpstr>
      <vt:lpstr>Array SUM with IF</vt:lpstr>
      <vt:lpstr>PivotTable</vt:lpstr>
      <vt:lpstr>COUNTA function</vt:lpstr>
      <vt:lpstr>DCOUNTA function</vt:lpstr>
      <vt:lpstr>COUNTBLANK function</vt:lpstr>
      <vt:lpstr>SUM, IF, MATCH, LEN &amp; FREQUENCY</vt:lpstr>
      <vt:lpstr>ROWS and COLUMNS functions</vt:lpstr>
      <vt:lpstr>SUM, IF, LEN, TRIM &amp; SUBSTITUTE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2017-03-13T22:39:08Z</dcterms:created>
  <dcterms:modified xsi:type="dcterms:W3CDTF">2026-02-04T00:00:33Z</dcterms:modified>
</cp:coreProperties>
</file>